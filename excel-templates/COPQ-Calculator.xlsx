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PQ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<sst xmlns="http://schemas.openxmlformats.org/spreadsheetml/2006/main" count="103" uniqueCount="103">
  <si>
    <t xml:space="preserve">COST OF POOR QUALITY (COPQ) CALCULATOR</t>
  </si>
  <si>
    <t xml:space="preserve">Quality Cost Analysis - PAF Model (Prevention-Appraisal-Failure)</t>
  </si>
  <si>
    <t xml:space="preserve">Instructions: Enter costs in blue cells. All totals and percentages calculate automatically.</t>
  </si>
  <si>
    <t xml:space="preserve">Time Period:</t>
  </si>
  <si>
    <t xml:space="preserve">Annual 2025</t>
  </si>
  <si>
    <t xml:space="preserve">Currency:</t>
  </si>
  <si>
    <t xml:space="preserve">USD</t>
  </si>
  <si>
    <t xml:space="preserve">Cost Category</t>
  </si>
  <si>
    <t xml:space="preserve">Cost Item</t>
  </si>
  <si>
    <t xml:space="preserve">Description</t>
  </si>
  <si>
    <t xml:space="preserve">Annual Cost ($)</t>
  </si>
  <si>
    <t xml:space="preserve">% of Total COPQ</t>
  </si>
  <si>
    <t xml:space="preserve">INTERNAL
FAILURE
COSTS</t>
  </si>
  <si>
    <t xml:space="preserve">Scrap</t>
  </si>
  <si>
    <t xml:space="preserve">Discarded defective products</t>
  </si>
  <si>
    <t xml:space="preserve">Rework</t>
  </si>
  <si>
    <t xml:space="preserve">Labor/materials to correct defects</t>
  </si>
  <si>
    <t xml:space="preserve">Re-inspection</t>
  </si>
  <si>
    <t xml:space="preserve">Additional inspection of reworked items</t>
  </si>
  <si>
    <t xml:space="preserve">Failure Analysis</t>
  </si>
  <si>
    <t xml:space="preserve">Root cause investigation</t>
  </si>
  <si>
    <t xml:space="preserve">Downtime</t>
  </si>
  <si>
    <t xml:space="preserve">Production stops due to quality</t>
  </si>
  <si>
    <t xml:space="preserve">Yield Loss</t>
  </si>
  <si>
    <t xml:space="preserve">Below theoretical maximum</t>
  </si>
  <si>
    <t xml:space="preserve">Supplier Returns</t>
  </si>
  <si>
    <t xml:space="preserve">Return defective materials</t>
  </si>
  <si>
    <t xml:space="preserve">Engineering Changes</t>
  </si>
  <si>
    <t xml:space="preserve">Emergency ECOs</t>
  </si>
  <si>
    <t xml:space="preserve">Sorting/Screening</t>
  </si>
  <si>
    <t xml:space="preserve">100% inspection</t>
  </si>
  <si>
    <t xml:space="preserve">Other Internal</t>
  </si>
  <si>
    <t xml:space="preserve">Other internal costs</t>
  </si>
  <si>
    <t xml:space="preserve">INTERNAL FAILURE SUBTOTAL</t>
  </si>
  <si>
    <t xml:space="preserve">EXTERNAL
FAILURE
COSTS</t>
  </si>
  <si>
    <t xml:space="preserve">Warranty Claims</t>
  </si>
  <si>
    <t xml:space="preserve">Repair/replace under warranty</t>
  </si>
  <si>
    <t xml:space="preserve">Customer Returns</t>
  </si>
  <si>
    <t xml:space="preserve">Processing returns</t>
  </si>
  <si>
    <t xml:space="preserve">Complaint Handling</t>
  </si>
  <si>
    <t xml:space="preserve">Investigation labor</t>
  </si>
  <si>
    <t xml:space="preserve">Product Recalls</t>
  </si>
  <si>
    <t xml:space="preserve">Recall campaigns</t>
  </si>
  <si>
    <t xml:space="preserve">Product Liability</t>
  </si>
  <si>
    <t xml:space="preserve">Litigation/insurance</t>
  </si>
  <si>
    <t xml:space="preserve">Lost Sales</t>
  </si>
  <si>
    <t xml:space="preserve">Revenue lost</t>
  </si>
  <si>
    <t xml:space="preserve">Allowances</t>
  </si>
  <si>
    <t xml:space="preserve">Price reductions</t>
  </si>
  <si>
    <t xml:space="preserve">Field Service</t>
  </si>
  <si>
    <t xml:space="preserve">On-site repairs</t>
  </si>
  <si>
    <t xml:space="preserve">Reputation Damage</t>
  </si>
  <si>
    <t xml:space="preserve">Brand impact</t>
  </si>
  <si>
    <t xml:space="preserve">Other External</t>
  </si>
  <si>
    <t xml:space="preserve">Other external costs</t>
  </si>
  <si>
    <t xml:space="preserve">EXTERNAL FAILURE SUBTOTAL</t>
  </si>
  <si>
    <t xml:space="preserve">APPRAISAL
COSTS</t>
  </si>
  <si>
    <t xml:space="preserve">Incoming Inspection</t>
  </si>
  <si>
    <t xml:space="preserve">Purchased material inspection</t>
  </si>
  <si>
    <t xml:space="preserve">In-Process Inspection</t>
  </si>
  <si>
    <t xml:space="preserve">During manufacturing</t>
  </si>
  <si>
    <t xml:space="preserve">Final Inspection</t>
  </si>
  <si>
    <t xml:space="preserve">Before shipment</t>
  </si>
  <si>
    <t xml:space="preserve">Test Equipment</t>
  </si>
  <si>
    <t xml:space="preserve">Purchase and calibration</t>
  </si>
  <si>
    <t xml:space="preserve">Quality Audits</t>
  </si>
  <si>
    <t xml:space="preserve">Internal/external audits</t>
  </si>
  <si>
    <t xml:space="preserve">Laboratory Testing</t>
  </si>
  <si>
    <t xml:space="preserve">Testing costs</t>
  </si>
  <si>
    <t xml:space="preserve">Field Testing</t>
  </si>
  <si>
    <t xml:space="preserve">Customer site testing</t>
  </si>
  <si>
    <t xml:space="preserve">Documentation</t>
  </si>
  <si>
    <t xml:space="preserve">Inspection records</t>
  </si>
  <si>
    <t xml:space="preserve">Other Appraisal</t>
  </si>
  <si>
    <t xml:space="preserve">Other appraisal costs</t>
  </si>
  <si>
    <t xml:space="preserve">APPRAISAL SUBTOTAL</t>
  </si>
  <si>
    <t xml:space="preserve">PREVENTION
COSTS</t>
  </si>
  <si>
    <t xml:space="preserve">Quality Planning</t>
  </si>
  <si>
    <t xml:space="preserve">Design reviews, APQP</t>
  </si>
  <si>
    <t xml:space="preserve">Process Control</t>
  </si>
  <si>
    <t xml:space="preserve">SPC, control plans</t>
  </si>
  <si>
    <t xml:space="preserve">Training</t>
  </si>
  <si>
    <t xml:space="preserve">Employee/supplier training</t>
  </si>
  <si>
    <t xml:space="preserve">Supplier Development</t>
  </si>
  <si>
    <t xml:space="preserve">Audits, improvement</t>
  </si>
  <si>
    <t xml:space="preserve">Quality Improvement</t>
  </si>
  <si>
    <t xml:space="preserve">CI projects, Six Sigma</t>
  </si>
  <si>
    <t xml:space="preserve">Preventive Maintenance</t>
  </si>
  <si>
    <t xml:space="preserve">Equipment maintenance</t>
  </si>
  <si>
    <t xml:space="preserve">Quality System</t>
  </si>
  <si>
    <t xml:space="preserve">QMS, documentation</t>
  </si>
  <si>
    <t xml:space="preserve">Design Verification</t>
  </si>
  <si>
    <t xml:space="preserve">DFMEA, DVP&amp;R</t>
  </si>
  <si>
    <t xml:space="preserve">Other Prevention</t>
  </si>
  <si>
    <t xml:space="preserve">Other prevention costs</t>
  </si>
  <si>
    <t xml:space="preserve">PREVENTION SUBTOTAL</t>
  </si>
  <si>
    <t xml:space="preserve">TOTAL COST OF POOR QUALITY</t>
  </si>
  <si>
    <t xml:space="preserve">100.0%</t>
  </si>
  <si>
    <t xml:space="preserve">SUMMARY ANALYSIS</t>
  </si>
  <si>
    <t xml:space="preserve">Total Failure Costs (Internal + External):</t>
  </si>
  <si>
    <t xml:space="preserve">Total Conformance Costs (Appraisal + Prevention):</t>
  </si>
  <si>
    <t xml:space="preserve">Failure as % of Total COPQ:</t>
  </si>
  <si>
    <t xml:space="preserve">Prevention as % of Total COPQ: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</si>
</sst>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0"/>
      <color rgb="FF7F7F7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0070C0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DAEEF3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FFE699"/>
      </patternFill>
    </fill>
    <fill>
      <patternFill patternType="solid">
        <fgColor rgb="FFF4B084"/>
        <bgColor rgb="FFFFC7CE"/>
      </patternFill>
    </fill>
    <fill>
      <patternFill patternType="solid">
        <fgColor rgb="FFFF6B6B"/>
        <bgColor rgb="FFC65911"/>
      </patternFill>
    </fill>
    <fill>
      <patternFill patternType="solid">
        <fgColor rgb="FFC65911"/>
        <bgColor rgb="FF993300"/>
      </patternFill>
    </fill>
    <fill>
      <patternFill patternType="solid">
        <fgColor rgb="FFFFE699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rgb="FFC6E0B4"/>
        <bgColor rgb="FFA9D08E"/>
      </patternFill>
    </fill>
    <fill>
      <patternFill patternType="solid">
        <fgColor rgb="FFA9D08E"/>
        <bgColor rgb="FFC6E0B4"/>
      </patternFill>
    </fill>
    <fill>
      <patternFill patternType="solid">
        <fgColor rgb="FF4472C4"/>
        <bgColor rgb="FF6666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7F7F7F"/>
      <rgbColor rgb="FF9999FF"/>
      <rgbColor rgb="FF993366"/>
      <rgbColor rgb="FFFFF2CC"/>
      <rgbColor rgb="FFDAEEF3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084"/>
      <rgbColor rgb="FFCC99FF"/>
      <rgbColor rgb="FFFFC7CE"/>
      <rgbColor rgb="FF4472C4"/>
      <rgbColor rgb="FF33CCCC"/>
      <rgbColor rgb="FF99CC00"/>
      <rgbColor rgb="FFFFD966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40"/>
    <col collapsed="false" customWidth="true" hidden="false" outlineLevel="0" max="5" min="4" style="0" width="15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5" t="s">
        <v>4</v>
      </c>
      <c r="D5" s="4" t="s">
        <v>5</v>
      </c>
      <c r="E5" s="5" t="s">
        <v>6</v>
      </c>
    </row>
    <row r="7" customFormat="false" ht="28.35" hidden="false" customHeight="false" outlineLevel="0" collapsed="false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</row>
    <row r="8" customFormat="false" ht="15" hidden="false" customHeight="true" outlineLevel="0" collapsed="false">
      <c r="A8" s="7" t="s">
        <v>12</v>
      </c>
      <c r="B8" s="8" t="s">
        <v>13</v>
      </c>
      <c r="C8" s="9" t="s">
        <v>14</v>
      </c>
      <c r="D8" s="10" t="n">
        <v>45000</v>
      </c>
      <c r="E8" s="11" t="n">
        <f aca="false">IF(D8&gt;0,D8/$D$61,0)</f>
        <v>0.302013422818792</v>
      </c>
    </row>
    <row r="9" customFormat="false" ht="15" hidden="false" customHeight="false" outlineLevel="0" collapsed="false">
      <c r="A9" s="7"/>
      <c r="B9" s="8" t="s">
        <v>15</v>
      </c>
      <c r="C9" s="9" t="s">
        <v>16</v>
      </c>
      <c r="D9" s="10" t="n">
        <v>32000</v>
      </c>
      <c r="E9" s="11" t="n">
        <f aca="false">IF(D9&gt;0,D9/$D$61,0)</f>
        <v>0.214765100671141</v>
      </c>
    </row>
    <row r="10" customFormat="false" ht="15" hidden="false" customHeight="false" outlineLevel="0" collapsed="false">
      <c r="A10" s="7"/>
      <c r="B10" s="8" t="s">
        <v>17</v>
      </c>
      <c r="C10" s="9" t="s">
        <v>18</v>
      </c>
      <c r="D10" s="10"/>
      <c r="E10" s="11" t="n">
        <f aca="false">IF(D10&gt;0,D10/$D$61,0)</f>
        <v>0</v>
      </c>
    </row>
    <row r="11" customFormat="false" ht="15" hidden="false" customHeight="false" outlineLevel="0" collapsed="false">
      <c r="A11" s="7"/>
      <c r="B11" s="8" t="s">
        <v>19</v>
      </c>
      <c r="C11" s="9" t="s">
        <v>20</v>
      </c>
      <c r="D11" s="10"/>
      <c r="E11" s="11" t="n">
        <f aca="false">IF(D11&gt;0,D11/$D$61,0)</f>
        <v>0</v>
      </c>
    </row>
    <row r="12" customFormat="false" ht="15" hidden="false" customHeight="false" outlineLevel="0" collapsed="false">
      <c r="A12" s="7"/>
      <c r="B12" s="8" t="s">
        <v>21</v>
      </c>
      <c r="C12" s="9" t="s">
        <v>22</v>
      </c>
      <c r="D12" s="10" t="n">
        <v>18000</v>
      </c>
      <c r="E12" s="11" t="n">
        <f aca="false">IF(D12&gt;0,D12/$D$61,0)</f>
        <v>0.120805369127517</v>
      </c>
    </row>
    <row r="13" customFormat="false" ht="15" hidden="false" customHeight="false" outlineLevel="0" collapsed="false">
      <c r="A13" s="7"/>
      <c r="B13" s="8" t="s">
        <v>23</v>
      </c>
      <c r="C13" s="9" t="s">
        <v>24</v>
      </c>
      <c r="D13" s="10"/>
      <c r="E13" s="11" t="n">
        <f aca="false">IF(D13&gt;0,D13/$D$61,0)</f>
        <v>0</v>
      </c>
    </row>
    <row r="14" customFormat="false" ht="15" hidden="false" customHeight="false" outlineLevel="0" collapsed="false">
      <c r="A14" s="7"/>
      <c r="B14" s="8" t="s">
        <v>25</v>
      </c>
      <c r="C14" s="9" t="s">
        <v>26</v>
      </c>
      <c r="D14" s="10"/>
      <c r="E14" s="11" t="n">
        <f aca="false">IF(D14&gt;0,D14/$D$61,0)</f>
        <v>0</v>
      </c>
    </row>
    <row r="15" customFormat="false" ht="15" hidden="false" customHeight="false" outlineLevel="0" collapsed="false">
      <c r="A15" s="7"/>
      <c r="B15" s="8" t="s">
        <v>27</v>
      </c>
      <c r="C15" s="9" t="s">
        <v>28</v>
      </c>
      <c r="D15" s="10"/>
      <c r="E15" s="11" t="n">
        <f aca="false">IF(D15&gt;0,D15/$D$61,0)</f>
        <v>0</v>
      </c>
    </row>
    <row r="16" customFormat="false" ht="15" hidden="false" customHeight="false" outlineLevel="0" collapsed="false">
      <c r="A16" s="7"/>
      <c r="B16" s="8" t="s">
        <v>29</v>
      </c>
      <c r="C16" s="9" t="s">
        <v>30</v>
      </c>
      <c r="D16" s="10"/>
      <c r="E16" s="11" t="n">
        <f aca="false">IF(D16&gt;0,D16/$D$61,0)</f>
        <v>0</v>
      </c>
    </row>
    <row r="17" customFormat="false" ht="15" hidden="false" customHeight="false" outlineLevel="0" collapsed="false">
      <c r="A17" s="7"/>
      <c r="B17" s="8" t="s">
        <v>31</v>
      </c>
      <c r="C17" s="9" t="s">
        <v>32</v>
      </c>
      <c r="D17" s="10"/>
      <c r="E17" s="11" t="n">
        <f aca="false">IF(D17&gt;0,D17/$D$61,0)</f>
        <v>0</v>
      </c>
    </row>
    <row r="18" customFormat="false" ht="15" hidden="false" customHeight="false" outlineLevel="0" collapsed="false">
      <c r="A18" s="7"/>
      <c r="B18" s="12" t="s">
        <v>33</v>
      </c>
      <c r="C18" s="13"/>
      <c r="D18" s="14" t="n">
        <f aca="false">SUM(D8:D17)</f>
        <v>95000</v>
      </c>
      <c r="E18" s="15" t="n">
        <f aca="false">IF(D18&gt;0,D18/$D$61,0)</f>
        <v>0.63758389261745</v>
      </c>
    </row>
    <row r="19" customFormat="false" ht="15" hidden="false" customHeight="false" outlineLevel="0" collapsed="false">
      <c r="D19" s="0" t="n">
        <v>25000</v>
      </c>
    </row>
    <row r="20" customFormat="false" ht="15" hidden="false" customHeight="true" outlineLevel="0" collapsed="false">
      <c r="A20" s="16" t="s">
        <v>34</v>
      </c>
      <c r="B20" s="8" t="s">
        <v>35</v>
      </c>
      <c r="C20" s="9" t="s">
        <v>36</v>
      </c>
      <c r="D20" s="10" t="n">
        <v>15000</v>
      </c>
      <c r="E20" s="11" t="n">
        <f aca="false">IF(D20&gt;0,D20/$D$61,0)</f>
        <v>0.100671140939597</v>
      </c>
    </row>
    <row r="21" customFormat="false" ht="15" hidden="false" customHeight="false" outlineLevel="0" collapsed="false">
      <c r="A21" s="16"/>
      <c r="B21" s="8" t="s">
        <v>37</v>
      </c>
      <c r="C21" s="9" t="s">
        <v>38</v>
      </c>
      <c r="D21" s="10"/>
      <c r="E21" s="11" t="n">
        <f aca="false">IF(D21&gt;0,D21/$D$61,0)</f>
        <v>0</v>
      </c>
    </row>
    <row r="22" customFormat="false" ht="15" hidden="false" customHeight="false" outlineLevel="0" collapsed="false">
      <c r="A22" s="16"/>
      <c r="B22" s="8" t="s">
        <v>39</v>
      </c>
      <c r="C22" s="9" t="s">
        <v>40</v>
      </c>
      <c r="D22" s="10"/>
      <c r="E22" s="11" t="n">
        <f aca="false">IF(D22&gt;0,D22/$D$61,0)</f>
        <v>0</v>
      </c>
    </row>
    <row r="23" customFormat="false" ht="15" hidden="false" customHeight="false" outlineLevel="0" collapsed="false">
      <c r="A23" s="16"/>
      <c r="B23" s="8" t="s">
        <v>41</v>
      </c>
      <c r="C23" s="9" t="s">
        <v>42</v>
      </c>
      <c r="D23" s="10"/>
      <c r="E23" s="11" t="n">
        <f aca="false">IF(D23&gt;0,D23/$D$61,0)</f>
        <v>0</v>
      </c>
    </row>
    <row r="24" customFormat="false" ht="15" hidden="false" customHeight="false" outlineLevel="0" collapsed="false">
      <c r="A24" s="16"/>
      <c r="B24" s="8" t="s">
        <v>43</v>
      </c>
      <c r="C24" s="9" t="s">
        <v>44</v>
      </c>
      <c r="D24" s="10"/>
      <c r="E24" s="11" t="n">
        <f aca="false">IF(D24&gt;0,D24/$D$61,0)</f>
        <v>0</v>
      </c>
    </row>
    <row r="25" customFormat="false" ht="15" hidden="false" customHeight="false" outlineLevel="0" collapsed="false">
      <c r="A25" s="16"/>
      <c r="B25" s="8" t="s">
        <v>45</v>
      </c>
      <c r="C25" s="9" t="s">
        <v>46</v>
      </c>
      <c r="D25" s="10"/>
      <c r="E25" s="11" t="n">
        <f aca="false">IF(D25&gt;0,D25/$D$61,0)</f>
        <v>0</v>
      </c>
    </row>
    <row r="26" customFormat="false" ht="15" hidden="false" customHeight="false" outlineLevel="0" collapsed="false">
      <c r="A26" s="16"/>
      <c r="B26" s="8" t="s">
        <v>47</v>
      </c>
      <c r="C26" s="9" t="s">
        <v>48</v>
      </c>
      <c r="D26" s="10"/>
      <c r="E26" s="11" t="n">
        <f aca="false">IF(D26&gt;0,D26/$D$61,0)</f>
        <v>0</v>
      </c>
    </row>
    <row r="27" customFormat="false" ht="15" hidden="false" customHeight="false" outlineLevel="0" collapsed="false">
      <c r="A27" s="16"/>
      <c r="B27" s="8" t="s">
        <v>49</v>
      </c>
      <c r="C27" s="9" t="s">
        <v>50</v>
      </c>
      <c r="D27" s="10"/>
      <c r="E27" s="11" t="n">
        <f aca="false">IF(D27&gt;0,D27/$D$61,0)</f>
        <v>0</v>
      </c>
    </row>
    <row r="28" customFormat="false" ht="15" hidden="false" customHeight="false" outlineLevel="0" collapsed="false">
      <c r="A28" s="16"/>
      <c r="B28" s="8" t="s">
        <v>51</v>
      </c>
      <c r="C28" s="9" t="s">
        <v>52</v>
      </c>
      <c r="D28" s="10"/>
      <c r="E28" s="11" t="n">
        <f aca="false">IF(D28&gt;0,D28/$D$61,0)</f>
        <v>0</v>
      </c>
    </row>
    <row r="29" customFormat="false" ht="15" hidden="false" customHeight="false" outlineLevel="0" collapsed="false">
      <c r="A29" s="16"/>
      <c r="B29" s="8" t="s">
        <v>53</v>
      </c>
      <c r="C29" s="9" t="s">
        <v>54</v>
      </c>
      <c r="D29" s="10"/>
      <c r="E29" s="11" t="n">
        <f aca="false">IF(D29&gt;0,D29/$D$61,0)</f>
        <v>0</v>
      </c>
    </row>
    <row r="30" customFormat="false" ht="15" hidden="false" customHeight="false" outlineLevel="0" collapsed="false">
      <c r="A30" s="16"/>
      <c r="B30" s="17" t="s">
        <v>55</v>
      </c>
      <c r="C30" s="18"/>
      <c r="D30" s="19" t="n">
        <f aca="false">SUM(D20:D29)</f>
        <v>15000</v>
      </c>
      <c r="E30" s="20" t="n">
        <f aca="false">IF(D30&gt;0,D30/$D$61,0)</f>
        <v>0.100671140939597</v>
      </c>
    </row>
    <row r="31" customFormat="false" ht="15" hidden="false" customHeight="false" outlineLevel="0" collapsed="false">
      <c r="D31" s="0" t="n">
        <v>12000</v>
      </c>
    </row>
    <row r="32" customFormat="false" ht="15" hidden="false" customHeight="true" outlineLevel="0" collapsed="false">
      <c r="A32" s="21" t="s">
        <v>56</v>
      </c>
      <c r="B32" s="8" t="s">
        <v>57</v>
      </c>
      <c r="C32" s="9" t="s">
        <v>58</v>
      </c>
      <c r="D32" s="10" t="n">
        <v>18000</v>
      </c>
      <c r="E32" s="11" t="n">
        <f aca="false">IF(D32&gt;0,D32/$D$61,0)</f>
        <v>0.120805369127517</v>
      </c>
    </row>
    <row r="33" customFormat="false" ht="15" hidden="false" customHeight="false" outlineLevel="0" collapsed="false">
      <c r="A33" s="21"/>
      <c r="B33" s="8" t="s">
        <v>59</v>
      </c>
      <c r="C33" s="9" t="s">
        <v>60</v>
      </c>
      <c r="D33" s="10" t="n">
        <v>10000</v>
      </c>
      <c r="E33" s="11" t="n">
        <f aca="false">IF(D33&gt;0,D33/$D$61,0)</f>
        <v>0.0671140939597315</v>
      </c>
    </row>
    <row r="34" customFormat="false" ht="15" hidden="false" customHeight="false" outlineLevel="0" collapsed="false">
      <c r="A34" s="21"/>
      <c r="B34" s="8" t="s">
        <v>61</v>
      </c>
      <c r="C34" s="9" t="s">
        <v>62</v>
      </c>
      <c r="D34" s="10"/>
      <c r="E34" s="11" t="n">
        <f aca="false">IF(D34&gt;0,D34/$D$61,0)</f>
        <v>0</v>
      </c>
    </row>
    <row r="35" customFormat="false" ht="15" hidden="false" customHeight="false" outlineLevel="0" collapsed="false">
      <c r="A35" s="21"/>
      <c r="B35" s="8" t="s">
        <v>63</v>
      </c>
      <c r="C35" s="9" t="s">
        <v>64</v>
      </c>
      <c r="D35" s="10"/>
      <c r="E35" s="11" t="n">
        <f aca="false">IF(D35&gt;0,D35/$D$61,0)</f>
        <v>0</v>
      </c>
    </row>
    <row r="36" customFormat="false" ht="15" hidden="false" customHeight="false" outlineLevel="0" collapsed="false">
      <c r="A36" s="21"/>
      <c r="B36" s="8" t="s">
        <v>65</v>
      </c>
      <c r="C36" s="9" t="s">
        <v>66</v>
      </c>
      <c r="D36" s="10"/>
      <c r="E36" s="11" t="n">
        <f aca="false">IF(D36&gt;0,D36/$D$61,0)</f>
        <v>0</v>
      </c>
    </row>
    <row r="37" customFormat="false" ht="15" hidden="false" customHeight="false" outlineLevel="0" collapsed="false">
      <c r="A37" s="21"/>
      <c r="B37" s="8" t="s">
        <v>67</v>
      </c>
      <c r="C37" s="9" t="s">
        <v>68</v>
      </c>
      <c r="D37" s="10"/>
      <c r="E37" s="11" t="n">
        <f aca="false">IF(D37&gt;0,D37/$D$61,0)</f>
        <v>0</v>
      </c>
    </row>
    <row r="38" customFormat="false" ht="15" hidden="false" customHeight="false" outlineLevel="0" collapsed="false">
      <c r="A38" s="21"/>
      <c r="B38" s="8" t="s">
        <v>69</v>
      </c>
      <c r="C38" s="9" t="s">
        <v>70</v>
      </c>
      <c r="D38" s="10"/>
      <c r="E38" s="11" t="n">
        <f aca="false">IF(D38&gt;0,D38/$D$61,0)</f>
        <v>0</v>
      </c>
    </row>
    <row r="39" customFormat="false" ht="15" hidden="false" customHeight="false" outlineLevel="0" collapsed="false">
      <c r="A39" s="21"/>
      <c r="B39" s="8" t="s">
        <v>71</v>
      </c>
      <c r="C39" s="9" t="s">
        <v>72</v>
      </c>
      <c r="D39" s="10"/>
      <c r="E39" s="11" t="n">
        <f aca="false">IF(D39&gt;0,D39/$D$61,0)</f>
        <v>0</v>
      </c>
    </row>
    <row r="40" customFormat="false" ht="15" hidden="false" customHeight="false" outlineLevel="0" collapsed="false">
      <c r="A40" s="21"/>
      <c r="B40" s="8" t="s">
        <v>73</v>
      </c>
      <c r="C40" s="9" t="s">
        <v>74</v>
      </c>
      <c r="D40" s="10"/>
      <c r="E40" s="11" t="n">
        <f aca="false">IF(D40&gt;0,D40/$D$61,0)</f>
        <v>0</v>
      </c>
    </row>
    <row r="41" customFormat="false" ht="15" hidden="false" customHeight="false" outlineLevel="0" collapsed="false">
      <c r="A41" s="21"/>
      <c r="B41" s="22" t="s">
        <v>75</v>
      </c>
      <c r="C41" s="23"/>
      <c r="D41" s="24" t="n">
        <f aca="false">SUM(D32:D40)</f>
        <v>28000</v>
      </c>
      <c r="E41" s="25" t="n">
        <f aca="false">IF(D41&gt;0,D41/$D$61,0)</f>
        <v>0.187919463087248</v>
      </c>
    </row>
    <row r="42" customFormat="false" ht="15" hidden="false" customHeight="false" outlineLevel="0" collapsed="false">
      <c r="D42" s="0" t="n">
        <v>8000</v>
      </c>
    </row>
    <row r="43" customFormat="false" ht="15" hidden="false" customHeight="true" outlineLevel="0" collapsed="false">
      <c r="A43" s="26" t="s">
        <v>76</v>
      </c>
      <c r="B43" s="8" t="s">
        <v>77</v>
      </c>
      <c r="C43" s="9" t="s">
        <v>78</v>
      </c>
      <c r="D43" s="10"/>
      <c r="E43" s="11" t="n">
        <f aca="false">IF(D43&gt;0,D43/$D$61,0)</f>
        <v>0</v>
      </c>
    </row>
    <row r="44" customFormat="false" ht="15" hidden="false" customHeight="false" outlineLevel="0" collapsed="false">
      <c r="A44" s="26"/>
      <c r="B44" s="8" t="s">
        <v>79</v>
      </c>
      <c r="C44" s="9" t="s">
        <v>80</v>
      </c>
      <c r="D44" s="10" t="n">
        <v>6000</v>
      </c>
      <c r="E44" s="11" t="n">
        <f aca="false">IF(D44&gt;0,D44/$D$61,0)</f>
        <v>0.0402684563758389</v>
      </c>
    </row>
    <row r="45" customFormat="false" ht="15" hidden="false" customHeight="false" outlineLevel="0" collapsed="false">
      <c r="A45" s="26"/>
      <c r="B45" s="8" t="s">
        <v>81</v>
      </c>
      <c r="C45" s="9" t="s">
        <v>82</v>
      </c>
      <c r="D45" s="10"/>
      <c r="E45" s="11" t="n">
        <f aca="false">IF(D45&gt;0,D45/$D$61,0)</f>
        <v>0</v>
      </c>
    </row>
    <row r="46" customFormat="false" ht="15" hidden="false" customHeight="false" outlineLevel="0" collapsed="false">
      <c r="A46" s="26"/>
      <c r="B46" s="8" t="s">
        <v>83</v>
      </c>
      <c r="C46" s="9" t="s">
        <v>84</v>
      </c>
      <c r="D46" s="10" t="n">
        <v>5000</v>
      </c>
      <c r="E46" s="11" t="n">
        <f aca="false">IF(D46&gt;0,D46/$D$61,0)</f>
        <v>0.0335570469798658</v>
      </c>
    </row>
    <row r="47" customFormat="false" ht="15" hidden="false" customHeight="false" outlineLevel="0" collapsed="false">
      <c r="A47" s="26"/>
      <c r="B47" s="8" t="s">
        <v>85</v>
      </c>
      <c r="C47" s="9" t="s">
        <v>86</v>
      </c>
      <c r="D47" s="10"/>
      <c r="E47" s="11" t="n">
        <f aca="false">IF(D47&gt;0,D47/$D$61,0)</f>
        <v>0</v>
      </c>
    </row>
    <row r="48" customFormat="false" ht="15" hidden="false" customHeight="false" outlineLevel="0" collapsed="false">
      <c r="A48" s="26"/>
      <c r="B48" s="8" t="s">
        <v>87</v>
      </c>
      <c r="C48" s="9" t="s">
        <v>88</v>
      </c>
      <c r="D48" s="10"/>
      <c r="E48" s="11" t="n">
        <f aca="false">IF(D48&gt;0,D48/$D$61,0)</f>
        <v>0</v>
      </c>
    </row>
    <row r="49" customFormat="false" ht="15" hidden="false" customHeight="false" outlineLevel="0" collapsed="false">
      <c r="A49" s="26"/>
      <c r="B49" s="8" t="s">
        <v>89</v>
      </c>
      <c r="C49" s="9" t="s">
        <v>90</v>
      </c>
      <c r="D49" s="10"/>
      <c r="E49" s="11" t="n">
        <f aca="false">IF(D49&gt;0,D49/$D$61,0)</f>
        <v>0</v>
      </c>
    </row>
    <row r="50" customFormat="false" ht="15" hidden="false" customHeight="false" outlineLevel="0" collapsed="false">
      <c r="A50" s="26"/>
      <c r="B50" s="8" t="s">
        <v>91</v>
      </c>
      <c r="C50" s="9" t="s">
        <v>92</v>
      </c>
      <c r="D50" s="10"/>
      <c r="E50" s="11" t="n">
        <f aca="false">IF(D50&gt;0,D50/$D$61,0)</f>
        <v>0</v>
      </c>
    </row>
    <row r="51" customFormat="false" ht="15" hidden="false" customHeight="false" outlineLevel="0" collapsed="false">
      <c r="A51" s="26"/>
      <c r="B51" s="8" t="s">
        <v>93</v>
      </c>
      <c r="C51" s="9" t="s">
        <v>94</v>
      </c>
      <c r="D51" s="10"/>
      <c r="E51" s="11" t="n">
        <f aca="false">IF(D51&gt;0,D51/$D$61,0)</f>
        <v>0</v>
      </c>
    </row>
    <row r="52" customFormat="false" ht="15" hidden="false" customHeight="false" outlineLevel="0" collapsed="false">
      <c r="A52" s="26"/>
      <c r="B52" s="27" t="s">
        <v>95</v>
      </c>
      <c r="C52" s="28"/>
      <c r="D52" s="29" t="n">
        <f aca="false">SUM(D43:D51)</f>
        <v>11000</v>
      </c>
      <c r="E52" s="30" t="n">
        <f aca="false">IF(D52&gt;0,D52/$D$61,0)</f>
        <v>0.0738255033557047</v>
      </c>
    </row>
    <row r="61" customFormat="false" ht="15" hidden="false" customHeight="true" outlineLevel="0" collapsed="false">
      <c r="B61" s="31" t="s">
        <v>96</v>
      </c>
      <c r="C61" s="31"/>
      <c r="D61" s="32" t="n">
        <f aca="false">D18+D30+D41+D52</f>
        <v>149000</v>
      </c>
      <c r="E61" s="33" t="s">
        <v>97</v>
      </c>
    </row>
    <row r="63" customFormat="false" ht="15" hidden="false" customHeight="true" outlineLevel="0" collapsed="false">
      <c r="A63" s="34" t="s">
        <v>98</v>
      </c>
      <c r="B63" s="34"/>
      <c r="C63" s="34"/>
      <c r="D63" s="34"/>
      <c r="E63" s="34"/>
    </row>
    <row r="65" customFormat="false" ht="28.35" hidden="false" customHeight="false" outlineLevel="0" collapsed="false">
      <c r="B65" s="35" t="s">
        <v>99</v>
      </c>
      <c r="D65" s="36" t="n">
        <f aca="false">D18+D30</f>
        <v>110000</v>
      </c>
      <c r="E65" s="36"/>
    </row>
    <row r="66" customFormat="false" ht="28.35" hidden="false" customHeight="false" outlineLevel="0" collapsed="false">
      <c r="B66" s="35" t="s">
        <v>100</v>
      </c>
      <c r="D66" s="36" t="n">
        <f aca="false">D41+D52</f>
        <v>39000</v>
      </c>
      <c r="E66" s="36"/>
    </row>
    <row r="67" customFormat="false" ht="28.35" hidden="false" customHeight="false" outlineLevel="0" collapsed="false">
      <c r="B67" s="35" t="s">
        <v>101</v>
      </c>
      <c r="D67" s="37" t="n">
        <f aca="false">(D18+D30)/D61</f>
        <v>0.738255033557047</v>
      </c>
      <c r="E67" s="37"/>
    </row>
    <row r="68" customFormat="false" ht="28.35" hidden="false" customHeight="false" outlineLevel="0" collapsed="false">
      <c r="B68" s="35" t="s">
        <v>102</v>
      </c>
      <c r="D68" s="37" t="n">
        <f aca="false">D52/D61</f>
        <v>0.0738255033557047</v>
      </c>
      <c r="E68" s="37"/>
    </row>
    <row r="70" customFormat="false" ht="15" hidden="false" customHeight="false" outlineLevel="0" collapsed="false">
      <c r="B70" s="38" t="str">
        <f aca="false">IF(D61=0,"Enter cost data to see recommendation",IF(D52/D61&lt;0.05,"⚠️ ALERT: Prevention costs are very low. Increase investment in prevention to reduce failure costs.",IF((D18+D30)/D61&gt;0.7,"⚠️ ALERT: Failure costs exceed 70% of COPQ. Focus on root cause elimination and prevention.",IF(D52/D61&gt;0.15,"✓ Good: Prevention investment is healthy. Continue preventive approach.","Consider increasing prevention investment to reduce appraisal and failure costs."))))</f>
        <v>⚠️ ALERT: Failure costs exceed 70% of COPQ. Focus on root cause elimination and prevention.</v>
      </c>
      <c r="C70" s="38"/>
      <c r="D70" s="38"/>
      <c r="E70" s="38"/>
    </row>
  </sheetData>
  <mergeCells count="14">
    <mergeCell ref="A1:E1"/>
    <mergeCell ref="A2:E2"/>
    <mergeCell ref="A3:E3"/>
    <mergeCell ref="A8:A18"/>
    <mergeCell ref="A20:A30"/>
    <mergeCell ref="A32:A41"/>
    <mergeCell ref="A43:A52"/>
    <mergeCell ref="B61:C61"/>
    <mergeCell ref="A63:E63"/>
    <mergeCell ref="D65:E65"/>
    <mergeCell ref="D66:E66"/>
    <mergeCell ref="D67:E67"/>
    <mergeCell ref="D68:E68"/>
    <mergeCell ref="B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2026-02-08T06:05:23Z</dcterms:created>
  <dc:creator>openpyxl</dc:creator>
  <dc:description/>
  <dc:language>en-US</dc:language>
  <cp:lastModifiedBy/>
  <dcterms:modified xsi:type="dcterms:W3CDTF">2026-02-08T06:05:23Z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