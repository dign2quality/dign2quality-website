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k Calculator" sheetId="1" state="visible" r:id="rId3"/>
    <sheet name="Cpk Reference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<sst xmlns="http://schemas.openxmlformats.org/spreadsheetml/2006/main" count="71" uniqueCount="67">
  <si>
    <t xml:space="preserve">PROCESS CAPABILITY (Cp/Cpk) CALCULATOR</t>
  </si>
  <si>
    <t xml:space="preserve">Statistical Process Control - Capability Analysis Tool</t>
  </si>
  <si>
    <t xml:space="preserve">Instructions: Enter your specification limits and sample data. All calculations update automatically.</t>
  </si>
  <si>
    <t xml:space="preserve">STEP 1: ENTER SPECIFICATION LIMITS</t>
  </si>
  <si>
    <t xml:space="preserve">Upper Specification Limit (USL):</t>
  </si>
  <si>
    <t xml:space="preserve">Specification Range:</t>
  </si>
  <si>
    <t xml:space="preserve">Lower Specification Limit (LSL):</t>
  </si>
  <si>
    <t xml:space="preserve">Specification Center:</t>
  </si>
  <si>
    <t xml:space="preserve">Target / Nominal Value:</t>
  </si>
  <si>
    <t xml:space="preserve">STEP 2: ENTER SAMPLE MEASUREMENTS (Minimum 30 samples recommended)</t>
  </si>
  <si>
    <t xml:space="preserve">Sample #</t>
  </si>
  <si>
    <t xml:space="preserve">Measurement</t>
  </si>
  <si>
    <t xml:space="preserve">STEP 3: STATISTICAL ANALYSIS &amp; RESULTS</t>
  </si>
  <si>
    <t xml:space="preserve">Sample Size (n):</t>
  </si>
  <si>
    <t xml:space="preserve">PROCESS CAPABILITY INDICES</t>
  </si>
  <si>
    <t xml:space="preserve">Sample Mean (X̄):</t>
  </si>
  <si>
    <t xml:space="preserve">Sample Std Dev (s):</t>
  </si>
  <si>
    <t xml:space="preserve">Cp (Potential Capability):</t>
  </si>
  <si>
    <t xml:space="preserve">Sample Range (R):</t>
  </si>
  <si>
    <t xml:space="preserve">Cpk (Actual Capability):</t>
  </si>
  <si>
    <t xml:space="preserve">Process Std Dev (σ):</t>
  </si>
  <si>
    <t xml:space="preserve">Cpu (Upper Capability):</t>
  </si>
  <si>
    <t xml:space="preserve">Cpl (Lower Capability):</t>
  </si>
  <si>
    <t xml:space="preserve">Process Centering:</t>
  </si>
  <si>
    <t xml:space="preserve">INTERPRETATION &amp; RECOMMENDATIONS</t>
  </si>
  <si>
    <t xml:space="preserve">Cpk Rating:</t>
  </si>
  <si>
    <t xml:space="preserve">Expected Defect Rate:</t>
  </si>
  <si>
    <t xml:space="preserve">Recommendation:</t>
  </si>
  <si>
    <t xml:space="preserve">PROCESS CAPABILITY (Cp/Cpk) REFERENCE GUIDE</t>
  </si>
  <si>
    <t xml:space="preserve">UNDERSTANDING CAPABILITY INDICES</t>
  </si>
  <si>
    <t xml:space="preserve">Cp (Process Potential)</t>
  </si>
  <si>
    <t xml:space="preserve">Measures potential capability if process is perfectly centered</t>
  </si>
  <si>
    <t xml:space="preserve">(USL - LSL) / (6σ)</t>
  </si>
  <si>
    <t xml:space="preserve">Cpk (Process Capability)</t>
  </si>
  <si>
    <t xml:space="preserve">Measures actual capability considering process centering</t>
  </si>
  <si>
    <t xml:space="preserve">MIN(Cpu, Cpl)</t>
  </si>
  <si>
    <t xml:space="preserve">Cpu (Upper Capability)</t>
  </si>
  <si>
    <t xml:space="preserve">Capability relative to upper spec limit</t>
  </si>
  <si>
    <t xml:space="preserve">(USL - X̄) / (3σ)</t>
  </si>
  <si>
    <t xml:space="preserve">Cpl (Lower Capability)</t>
  </si>
  <si>
    <t xml:space="preserve">Capability relative to lower spec limit</t>
  </si>
  <si>
    <t xml:space="preserve">(X̄ - LSL) / (3σ)</t>
  </si>
  <si>
    <t xml:space="preserve">INDUSTRY STANDARDS &amp; BENCHMARKS</t>
  </si>
  <si>
    <t xml:space="preserve">Cpk Value</t>
  </si>
  <si>
    <t xml:space="preserve">Rating</t>
  </si>
  <si>
    <t xml:space="preserve">Defect Rate</t>
  </si>
  <si>
    <t xml:space="preserve">Typical Application</t>
  </si>
  <si>
    <t xml:space="preserve">Cpk ≥ 2.00</t>
  </si>
  <si>
    <t xml:space="preserve">World Class / Six Sigma</t>
  </si>
  <si>
    <t xml:space="preserve">&lt;0.002 PPM</t>
  </si>
  <si>
    <t xml:space="preserve">Automotive (critical safety)</t>
  </si>
  <si>
    <t xml:space="preserve">Cpk ≥ 1.67</t>
  </si>
  <si>
    <t xml:space="preserve">Excellent / 5 Sigma</t>
  </si>
  <si>
    <t xml:space="preserve">&lt;0.6 PPM</t>
  </si>
  <si>
    <t xml:space="preserve">Aerospace, Medical Devices</t>
  </si>
  <si>
    <t xml:space="preserve">Cpk ≥ 1.33</t>
  </si>
  <si>
    <t xml:space="preserve">Adequate / 4 Sigma</t>
  </si>
  <si>
    <t xml:space="preserve">&lt;64 PPM</t>
  </si>
  <si>
    <t xml:space="preserve">General Manufacturing</t>
  </si>
  <si>
    <t xml:space="preserve">Cpk ≥ 1.00</t>
  </si>
  <si>
    <t xml:space="preserve">Marginal / 3 Sigma</t>
  </si>
  <si>
    <t xml:space="preserve">&lt;2700 PPM</t>
  </si>
  <si>
    <t xml:space="preserve">Minimum Acceptable</t>
  </si>
  <si>
    <t xml:space="preserve">Cpk &lt; 1.00</t>
  </si>
  <si>
    <t xml:space="preserve">Unacceptable</t>
  </si>
  <si>
    <t xml:space="preserve">&gt;2700 PPM</t>
  </si>
  <si>
    <t xml:space="preserve">Immediate Action Required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</si>
</sst>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General"/>
    <numFmt numFmtId="167" formatCode="0.0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color rgb="FF7F7F7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4472C4"/>
        <bgColor rgb="FF0066CC"/>
      </patternFill>
    </fill>
    <fill>
      <patternFill patternType="solid">
        <fgColor rgb="FFDAEEF3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AEEF3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3"/>
    <col collapsed="false" customWidth="true" hidden="false" outlineLevel="0" max="4" min="4" style="1" width="25"/>
    <col collapsed="false" customWidth="true" hidden="false" outlineLevel="0" max="5" min="5" style="1" width="15"/>
    <col collapsed="false" customWidth="true" hidden="false" outlineLevel="0" max="6" min="6" style="1" width="3"/>
    <col collapsed="false" customWidth="true" hidden="false" outlineLevel="0" max="7" min="7" style="1" width="12"/>
    <col collapsed="false" customWidth="true" hidden="false" outlineLevel="0" max="8" min="8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7" customFormat="false" ht="15" hidden="false" customHeight="true" outlineLevel="0" collapsed="false">
      <c r="A7" s="6" t="s">
        <v>4</v>
      </c>
      <c r="B7" s="7" t="n">
        <v>10.1</v>
      </c>
      <c r="D7" s="6" t="s">
        <v>5</v>
      </c>
      <c r="E7" s="8" t="n">
        <f aca="false">IF(AND(B7&lt;&gt;"",B8&lt;&gt;""),B7-B8,"")</f>
        <v>0.199999999999999</v>
      </c>
    </row>
    <row r="8" customFormat="false" ht="15" hidden="false" customHeight="true" outlineLevel="0" collapsed="false">
      <c r="A8" s="6" t="s">
        <v>6</v>
      </c>
      <c r="B8" s="7" t="n">
        <v>9.9</v>
      </c>
      <c r="D8" s="6" t="s">
        <v>7</v>
      </c>
      <c r="E8" s="8" t="n">
        <f aca="false">IF(AND(B7&lt;&gt;"",B8&lt;&gt;""),(B7+B8)/2,"")</f>
        <v>10</v>
      </c>
    </row>
    <row r="9" customFormat="false" ht="15" hidden="false" customHeight="true" outlineLevel="0" collapsed="false">
      <c r="A9" s="6" t="s">
        <v>8</v>
      </c>
      <c r="B9" s="7" t="n">
        <v>10</v>
      </c>
    </row>
    <row r="11" customFormat="false" ht="15" hidden="false" customHeight="true" outlineLevel="0" collapsed="false">
      <c r="A11" s="5" t="s">
        <v>9</v>
      </c>
      <c r="B11" s="5"/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9" t="s">
        <v>10</v>
      </c>
      <c r="B12" s="9" t="s">
        <v>11</v>
      </c>
      <c r="D12" s="9" t="s">
        <v>10</v>
      </c>
      <c r="E12" s="9" t="s">
        <v>11</v>
      </c>
      <c r="G12" s="9" t="s">
        <v>10</v>
      </c>
      <c r="H12" s="9" t="s">
        <v>11</v>
      </c>
    </row>
    <row r="13" customFormat="false" ht="15" hidden="false" customHeight="true" outlineLevel="0" collapsed="false">
      <c r="A13" s="10" t="n">
        <v>1</v>
      </c>
      <c r="B13" s="11" t="n">
        <v>10.02</v>
      </c>
      <c r="D13" s="10" t="n">
        <v>18</v>
      </c>
      <c r="E13" s="11" t="n">
        <v>10.04</v>
      </c>
      <c r="G13" s="10" t="n">
        <v>35</v>
      </c>
      <c r="H13" s="11"/>
    </row>
    <row r="14" customFormat="false" ht="15" hidden="false" customHeight="true" outlineLevel="0" collapsed="false">
      <c r="A14" s="10" t="n">
        <v>2</v>
      </c>
      <c r="B14" s="11" t="n">
        <v>10.05</v>
      </c>
      <c r="D14" s="10" t="n">
        <v>19</v>
      </c>
      <c r="E14" s="11" t="n">
        <v>9.99</v>
      </c>
      <c r="G14" s="10" t="n">
        <v>36</v>
      </c>
      <c r="H14" s="11"/>
    </row>
    <row r="15" customFormat="false" ht="15" hidden="false" customHeight="true" outlineLevel="0" collapsed="false">
      <c r="A15" s="10" t="n">
        <v>3</v>
      </c>
      <c r="B15" s="11" t="n">
        <v>9.98</v>
      </c>
      <c r="D15" s="10" t="n">
        <v>20</v>
      </c>
      <c r="E15" s="11" t="n">
        <v>10.01</v>
      </c>
      <c r="G15" s="10" t="n">
        <v>37</v>
      </c>
      <c r="H15" s="11"/>
    </row>
    <row r="16" customFormat="false" ht="15" hidden="false" customHeight="true" outlineLevel="0" collapsed="false">
      <c r="A16" s="10" t="n">
        <v>4</v>
      </c>
      <c r="B16" s="11" t="n">
        <v>10.01</v>
      </c>
      <c r="D16" s="10" t="n">
        <v>21</v>
      </c>
      <c r="E16" s="11" t="n">
        <v>10.05</v>
      </c>
      <c r="G16" s="10" t="n">
        <v>38</v>
      </c>
      <c r="H16" s="11"/>
    </row>
    <row r="17" customFormat="false" ht="15" hidden="false" customHeight="true" outlineLevel="0" collapsed="false">
      <c r="A17" s="10" t="n">
        <v>5</v>
      </c>
      <c r="B17" s="11" t="n">
        <v>10.03</v>
      </c>
      <c r="D17" s="10" t="n">
        <v>22</v>
      </c>
      <c r="E17" s="11" t="n">
        <v>9.97</v>
      </c>
      <c r="G17" s="10" t="n">
        <v>39</v>
      </c>
      <c r="H17" s="11"/>
    </row>
    <row r="18" customFormat="false" ht="15" hidden="false" customHeight="true" outlineLevel="0" collapsed="false">
      <c r="A18" s="10" t="n">
        <v>6</v>
      </c>
      <c r="B18" s="11" t="n">
        <v>9.99</v>
      </c>
      <c r="D18" s="10" t="n">
        <v>23</v>
      </c>
      <c r="E18" s="11" t="n">
        <v>10</v>
      </c>
      <c r="G18" s="10" t="n">
        <v>40</v>
      </c>
      <c r="H18" s="11"/>
    </row>
    <row r="19" customFormat="false" ht="15" hidden="false" customHeight="true" outlineLevel="0" collapsed="false">
      <c r="A19" s="10" t="n">
        <v>7</v>
      </c>
      <c r="B19" s="11" t="n">
        <v>10.04</v>
      </c>
      <c r="D19" s="10" t="n">
        <v>24</v>
      </c>
      <c r="E19" s="11" t="n">
        <v>10.03</v>
      </c>
      <c r="G19" s="10" t="n">
        <v>41</v>
      </c>
      <c r="H19" s="11"/>
    </row>
    <row r="20" customFormat="false" ht="15" hidden="false" customHeight="true" outlineLevel="0" collapsed="false">
      <c r="A20" s="10" t="n">
        <v>8</v>
      </c>
      <c r="B20" s="11" t="n">
        <v>10</v>
      </c>
      <c r="D20" s="10" t="n">
        <v>25</v>
      </c>
      <c r="E20" s="11" t="n">
        <v>9.96</v>
      </c>
      <c r="G20" s="10" t="n">
        <v>42</v>
      </c>
      <c r="H20" s="11"/>
    </row>
    <row r="21" customFormat="false" ht="15" hidden="false" customHeight="true" outlineLevel="0" collapsed="false">
      <c r="A21" s="10" t="n">
        <v>9</v>
      </c>
      <c r="B21" s="11" t="n">
        <v>10.02</v>
      </c>
      <c r="D21" s="10" t="n">
        <v>26</v>
      </c>
      <c r="E21" s="11" t="n">
        <v>10.02</v>
      </c>
      <c r="G21" s="10" t="n">
        <v>43</v>
      </c>
      <c r="H21" s="11"/>
    </row>
    <row r="22" customFormat="false" ht="15" hidden="false" customHeight="true" outlineLevel="0" collapsed="false">
      <c r="A22" s="10" t="n">
        <v>10</v>
      </c>
      <c r="B22" s="11" t="n">
        <v>9.97</v>
      </c>
      <c r="D22" s="10" t="n">
        <v>27</v>
      </c>
      <c r="E22" s="11" t="n">
        <v>10.01</v>
      </c>
      <c r="G22" s="10" t="n">
        <v>44</v>
      </c>
      <c r="H22" s="11"/>
    </row>
    <row r="23" customFormat="false" ht="15" hidden="false" customHeight="true" outlineLevel="0" collapsed="false">
      <c r="A23" s="10" t="n">
        <v>11</v>
      </c>
      <c r="B23" s="11" t="n">
        <v>10.01</v>
      </c>
      <c r="D23" s="10" t="n">
        <v>28</v>
      </c>
      <c r="E23" s="11" t="n">
        <v>9.99</v>
      </c>
      <c r="G23" s="10" t="n">
        <v>45</v>
      </c>
      <c r="H23" s="11"/>
    </row>
    <row r="24" customFormat="false" ht="15" hidden="false" customHeight="true" outlineLevel="0" collapsed="false">
      <c r="A24" s="10" t="n">
        <v>12</v>
      </c>
      <c r="B24" s="11" t="n">
        <v>10.06</v>
      </c>
      <c r="D24" s="10" t="n">
        <v>29</v>
      </c>
      <c r="E24" s="11" t="n">
        <v>10.04</v>
      </c>
      <c r="G24" s="10" t="n">
        <v>46</v>
      </c>
      <c r="H24" s="11"/>
    </row>
    <row r="25" customFormat="false" ht="15" hidden="false" customHeight="true" outlineLevel="0" collapsed="false">
      <c r="A25" s="10" t="n">
        <v>13</v>
      </c>
      <c r="B25" s="11" t="n">
        <v>9.95</v>
      </c>
      <c r="D25" s="10" t="n">
        <v>30</v>
      </c>
      <c r="E25" s="11" t="n">
        <v>10</v>
      </c>
      <c r="G25" s="10" t="n">
        <v>47</v>
      </c>
      <c r="H25" s="11"/>
    </row>
    <row r="26" customFormat="false" ht="15" hidden="false" customHeight="true" outlineLevel="0" collapsed="false">
      <c r="A26" s="10" t="n">
        <v>14</v>
      </c>
      <c r="B26" s="11" t="n">
        <v>10.03</v>
      </c>
      <c r="D26" s="10" t="n">
        <v>31</v>
      </c>
      <c r="E26" s="11"/>
      <c r="G26" s="10" t="n">
        <v>48</v>
      </c>
      <c r="H26" s="11"/>
    </row>
    <row r="27" customFormat="false" ht="15" hidden="false" customHeight="true" outlineLevel="0" collapsed="false">
      <c r="A27" s="10" t="n">
        <v>15</v>
      </c>
      <c r="B27" s="11" t="n">
        <v>10</v>
      </c>
      <c r="D27" s="10" t="n">
        <v>32</v>
      </c>
      <c r="E27" s="11"/>
      <c r="G27" s="10" t="n">
        <v>49</v>
      </c>
      <c r="H27" s="11"/>
    </row>
    <row r="28" customFormat="false" ht="15" hidden="false" customHeight="true" outlineLevel="0" collapsed="false">
      <c r="A28" s="10" t="n">
        <v>16</v>
      </c>
      <c r="B28" s="11" t="n">
        <v>9.98</v>
      </c>
      <c r="D28" s="10" t="n">
        <v>33</v>
      </c>
      <c r="E28" s="11"/>
      <c r="G28" s="10" t="n">
        <v>50</v>
      </c>
      <c r="H28" s="11"/>
    </row>
    <row r="29" customFormat="false" ht="15" hidden="false" customHeight="true" outlineLevel="0" collapsed="false">
      <c r="A29" s="10" t="n">
        <v>17</v>
      </c>
      <c r="B29" s="11" t="n">
        <v>10.02</v>
      </c>
      <c r="D29" s="10" t="n">
        <v>34</v>
      </c>
      <c r="E29" s="11"/>
    </row>
    <row r="31" customFormat="false" ht="15" hidden="false" customHeight="true" outlineLevel="0" collapsed="false">
      <c r="A31" s="5" t="s">
        <v>12</v>
      </c>
      <c r="B31" s="5"/>
      <c r="C31" s="5"/>
      <c r="D31" s="5"/>
      <c r="E31" s="5"/>
      <c r="F31" s="5"/>
      <c r="G31" s="5"/>
      <c r="H31" s="5"/>
    </row>
    <row r="33" customFormat="false" ht="15" hidden="false" customHeight="true" outlineLevel="0" collapsed="false">
      <c r="A33" s="6" t="s">
        <v>13</v>
      </c>
      <c r="B33" s="12" t="n">
        <f aca="false">COUNTA(B13:B29,E13:E29,H13:H28)</f>
        <v>30</v>
      </c>
      <c r="D33" s="13" t="s">
        <v>14</v>
      </c>
      <c r="E33" s="13"/>
      <c r="F33" s="13"/>
      <c r="G33" s="13"/>
      <c r="H33" s="13"/>
    </row>
    <row r="34" customFormat="false" ht="15" hidden="false" customHeight="true" outlineLevel="0" collapsed="false">
      <c r="A34" s="6" t="s">
        <v>15</v>
      </c>
      <c r="B34" s="14" t="n">
        <f aca="false">IF(B33&gt;0,AVERAGE(B13:B29,E13:E29,H13:H28),"")</f>
        <v>10.009</v>
      </c>
    </row>
    <row r="35" customFormat="false" ht="15" hidden="false" customHeight="true" outlineLevel="0" collapsed="false">
      <c r="A35" s="6" t="s">
        <v>16</v>
      </c>
      <c r="B35" s="14" t="n">
        <f aca="false">IF(B33&gt;1,STDEV(B13:B29,E13:E29,H13:H28),"")</f>
        <v>0.0279593300694245</v>
      </c>
      <c r="D35" s="6" t="s">
        <v>17</v>
      </c>
      <c r="E35" s="15" t="n">
        <f aca="false">IF(AND(B7&lt;&gt;"",B8&lt;&gt;"",B35&lt;&gt;"",B35&gt;0),(B7-B8)/(6*B35),"")</f>
        <v>1.19220786945055</v>
      </c>
    </row>
    <row r="36" customFormat="false" ht="15" hidden="false" customHeight="true" outlineLevel="0" collapsed="false">
      <c r="A36" s="6" t="s">
        <v>18</v>
      </c>
      <c r="B36" s="14" t="n">
        <f aca="false">IF(B33&gt;0,MAX(B13:B29,E13:E29,H13:H28)-MIN(B13:B29,E13:E29,H13:H28),"")</f>
        <v>0.110000000000001</v>
      </c>
      <c r="D36" s="6" t="s">
        <v>19</v>
      </c>
      <c r="E36" s="15" t="n">
        <f aca="false">IF(AND(B7&lt;&gt;"",B8&lt;&gt;"",B34&lt;&gt;"",B35&lt;&gt;"",B35&gt;0),MIN((B7-B34)/(3*B35),(B34-B8)/(3*B35)),"")</f>
        <v>1.08490916120002</v>
      </c>
    </row>
    <row r="37" customFormat="false" ht="15" hidden="false" customHeight="true" outlineLevel="0" collapsed="false">
      <c r="A37" s="6" t="s">
        <v>20</v>
      </c>
      <c r="B37" s="14" t="n">
        <f aca="false">B35</f>
        <v>0.0279593300694245</v>
      </c>
      <c r="D37" s="6" t="s">
        <v>21</v>
      </c>
      <c r="E37" s="16" t="n">
        <f aca="false">IF(AND(B7&lt;&gt;"",B34&lt;&gt;"",B35&lt;&gt;"",B35&gt;0),(B7-B34)/(3*B35),"")</f>
        <v>1.08490916120002</v>
      </c>
    </row>
    <row r="38" customFormat="false" ht="15" hidden="false" customHeight="true" outlineLevel="0" collapsed="false">
      <c r="D38" s="6" t="s">
        <v>22</v>
      </c>
      <c r="E38" s="16" t="n">
        <f aca="false">IF(AND(B8&lt;&gt;"",B34&lt;&gt;"",B35&lt;&gt;"",B35&gt;0),(B34-B8)/(3*B35),"")</f>
        <v>1.29950657770108</v>
      </c>
    </row>
    <row r="39" customFormat="false" ht="15" hidden="false" customHeight="true" outlineLevel="0" collapsed="false">
      <c r="D39" s="6" t="s">
        <v>23</v>
      </c>
      <c r="E39" s="17" t="n">
        <f aca="false">IF(AND(E35&lt;&gt;"",E36&lt;&gt;"",E35&gt;0),E36/E35,"")</f>
        <v>0.910000000000014</v>
      </c>
    </row>
    <row r="41" customFormat="false" ht="15" hidden="false" customHeight="true" outlineLevel="0" collapsed="false">
      <c r="A41" s="5" t="s">
        <v>24</v>
      </c>
      <c r="B41" s="5"/>
      <c r="C41" s="5"/>
      <c r="D41" s="5"/>
      <c r="E41" s="5"/>
      <c r="F41" s="5"/>
      <c r="G41" s="5"/>
      <c r="H41" s="5"/>
    </row>
    <row r="43" customFormat="false" ht="15" hidden="false" customHeight="true" outlineLevel="0" collapsed="false">
      <c r="A43" s="6" t="s">
        <v>25</v>
      </c>
      <c r="B43" s="18" t="str">
        <f aca="false">IF(E36="","",IF(E36&gt;=2,"World Class (≥2.00)",IF(E36&gt;=1.67,"Excellent (1.67-1.99)",IF(E36&gt;=1.33,"Adequate (1.33-1.66)",IF(E36&gt;=1,"Marginal (1.00-1.32)","Unacceptable (&lt;1.00)")))))</f>
        <v>Marginal (1.00-1.32)</v>
      </c>
      <c r="C43" s="18"/>
    </row>
    <row r="44" customFormat="false" ht="15" hidden="false" customHeight="true" outlineLevel="0" collapsed="false">
      <c r="A44" s="6" t="s">
        <v>26</v>
      </c>
      <c r="B44" s="19" t="str">
        <f aca="false">IF(E36="","",IF(E36&gt;=2,"&lt;0.002 PPM (6σ)",IF(E36&gt;=1.67,"&lt;0.6 PPM (5σ)",IF(E36&gt;=1.33,"&lt;64 PPM (4σ)",IF(E36&gt;=1,"&lt;2700 PPM (3σ)","&gt;2700 PPM")))))</f>
        <v>&lt;2700 PPM (3σ)</v>
      </c>
      <c r="C44" s="19"/>
    </row>
    <row r="45" customFormat="false" ht="15" hidden="false" customHeight="true" outlineLevel="0" collapsed="false">
      <c r="A45" s="6" t="s">
        <v>27</v>
      </c>
      <c r="B45" s="20" t="str">
        <f aca="false">IF(E36="","Enter data to calculate",IF(E36&gt;=1.33,"Process is capable. Continue monitoring.",IF(E36&gt;=1,"Process is marginal. Consider process improvement.","Process is NOT capable. Immediate action required: Reduce variation or widen specs.")))</f>
        <v>Process is marginal. Consider process improvement.</v>
      </c>
      <c r="C45" s="20"/>
      <c r="D45" s="20"/>
      <c r="E45" s="20"/>
      <c r="F45" s="20"/>
      <c r="G45" s="20"/>
      <c r="H45" s="20"/>
    </row>
  </sheetData>
  <mergeCells count="11">
    <mergeCell ref="A1:H1"/>
    <mergeCell ref="A2:H2"/>
    <mergeCell ref="A3:H3"/>
    <mergeCell ref="A5:H5"/>
    <mergeCell ref="A11:H11"/>
    <mergeCell ref="A31:H31"/>
    <mergeCell ref="D33:H33"/>
    <mergeCell ref="A41:H41"/>
    <mergeCell ref="B43:C43"/>
    <mergeCell ref="B44:C44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3" min="3" style="1" width="15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1" t="s">
        <v>28</v>
      </c>
      <c r="B1" s="21"/>
      <c r="C1" s="21"/>
      <c r="D1" s="21"/>
    </row>
    <row r="3" customFormat="false" ht="15" hidden="false" customHeight="true" outlineLevel="0" collapsed="false">
      <c r="A3" s="22" t="s">
        <v>29</v>
      </c>
      <c r="B3" s="22"/>
      <c r="C3" s="22"/>
      <c r="D3" s="22"/>
    </row>
    <row r="5" customFormat="false" ht="15" hidden="false" customHeight="true" outlineLevel="0" collapsed="false">
      <c r="A5" s="23" t="s">
        <v>30</v>
      </c>
      <c r="B5" s="1" t="s">
        <v>31</v>
      </c>
      <c r="C5" s="24" t="s">
        <v>32</v>
      </c>
    </row>
    <row r="6" customFormat="false" ht="15" hidden="false" customHeight="true" outlineLevel="0" collapsed="false">
      <c r="A6" s="23" t="s">
        <v>33</v>
      </c>
      <c r="B6" s="1" t="s">
        <v>34</v>
      </c>
      <c r="C6" s="24" t="s">
        <v>35</v>
      </c>
    </row>
    <row r="7" customFormat="false" ht="15" hidden="false" customHeight="true" outlineLevel="0" collapsed="false">
      <c r="A7" s="23" t="s">
        <v>36</v>
      </c>
      <c r="B7" s="1" t="s">
        <v>37</v>
      </c>
      <c r="C7" s="24" t="s">
        <v>38</v>
      </c>
    </row>
    <row r="8" customFormat="false" ht="15" hidden="false" customHeight="true" outlineLevel="0" collapsed="false">
      <c r="A8" s="23" t="s">
        <v>39</v>
      </c>
      <c r="B8" s="1" t="s">
        <v>40</v>
      </c>
      <c r="C8" s="24" t="s">
        <v>41</v>
      </c>
    </row>
    <row r="11" customFormat="false" ht="15" hidden="false" customHeight="true" outlineLevel="0" collapsed="false">
      <c r="A11" s="22" t="s">
        <v>42</v>
      </c>
      <c r="B11" s="22"/>
      <c r="C11" s="22"/>
      <c r="D11" s="22"/>
    </row>
    <row r="13" customFormat="false" ht="15" hidden="false" customHeight="true" outlineLevel="0" collapsed="false">
      <c r="A13" s="25" t="s">
        <v>43</v>
      </c>
      <c r="B13" s="25" t="s">
        <v>44</v>
      </c>
      <c r="C13" s="25" t="s">
        <v>45</v>
      </c>
      <c r="D13" s="25" t="s">
        <v>46</v>
      </c>
    </row>
    <row r="14" customFormat="false" ht="15" hidden="false" customHeight="true" outlineLevel="0" collapsed="false">
      <c r="A14" s="1" t="s">
        <v>47</v>
      </c>
      <c r="B14" s="1" t="s">
        <v>48</v>
      </c>
      <c r="C14" s="1" t="s">
        <v>49</v>
      </c>
      <c r="D14" s="1" t="s">
        <v>50</v>
      </c>
    </row>
    <row r="15" customFormat="false" ht="15" hidden="false" customHeight="true" outlineLevel="0" collapsed="false">
      <c r="A15" s="1" t="s">
        <v>51</v>
      </c>
      <c r="B15" s="1" t="s">
        <v>52</v>
      </c>
      <c r="C15" s="1" t="s">
        <v>53</v>
      </c>
      <c r="D15" s="1" t="s">
        <v>54</v>
      </c>
    </row>
    <row r="16" customFormat="false" ht="15" hidden="false" customHeight="true" outlineLevel="0" collapsed="false">
      <c r="A16" s="1" t="s">
        <v>55</v>
      </c>
      <c r="B16" s="1" t="s">
        <v>56</v>
      </c>
      <c r="C16" s="1" t="s">
        <v>57</v>
      </c>
      <c r="D16" s="1" t="s">
        <v>58</v>
      </c>
    </row>
    <row r="17" customFormat="false" ht="15" hidden="false" customHeight="true" outlineLevel="0" collapsed="false">
      <c r="A17" s="1" t="s">
        <v>59</v>
      </c>
      <c r="B17" s="1" t="s">
        <v>60</v>
      </c>
      <c r="C17" s="1" t="s">
        <v>61</v>
      </c>
      <c r="D17" s="1" t="s">
        <v>62</v>
      </c>
    </row>
    <row r="18" customFormat="false" ht="15" hidden="false" customHeight="true" outlineLevel="0" collapsed="false">
      <c r="A18" s="1" t="s">
        <v>63</v>
      </c>
      <c r="B18" s="1" t="s">
        <v>64</v>
      </c>
      <c r="C18" s="1" t="s">
        <v>65</v>
      </c>
      <c r="D18" s="1" t="s">
        <v>66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2026-02-08T06:00:34Z</dcterms:created>
  <dc:creator>openpyxl</dc:creator>
  <dc:description/>
  <dc:language>en-US</dc:language>
  <cp:lastModifiedBy/>
  <dcterms:modified xsi:type="dcterms:W3CDTF">2026-02-08T06:00:48Z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