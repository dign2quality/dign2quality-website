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FMEA" sheetId="1" state="visible" r:id="rId3"/>
    <sheet name="Rating Criter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<sst xmlns="http://schemas.openxmlformats.org/spreadsheetml/2006/main" count="140" uniqueCount="119">
  <si>
    <t xml:space="preserve">DESIGN FAILURE MODE AND EFFECTS ANALYSIS (DFMEA)</t>
  </si>
  <si>
    <t xml:space="preserve">AIAG-4 Compliant | Risk Priority Number (RPN) Methodology</t>
  </si>
  <si>
    <t xml:space="preserve">Item/Product:</t>
  </si>
  <si>
    <t xml:space="preserve">Battery Pack Assembly</t>
  </si>
  <si>
    <t xml:space="preserve">DFMEA Number:</t>
  </si>
  <si>
    <t xml:space="preserve">DFMEA-2025-001</t>
  </si>
  <si>
    <t xml:space="preserve">Prepared By:</t>
  </si>
  <si>
    <t xml:space="preserve">Engineering Team</t>
  </si>
  <si>
    <t xml:space="preserve">Date:</t>
  </si>
  <si>
    <t xml:space="preserve">2025-02-07</t>
  </si>
  <si>
    <t xml:space="preserve">Revision:</t>
  </si>
  <si>
    <t xml:space="preserve">Rev A</t>
  </si>
  <si>
    <t xml:space="preserve">FAILURE MODE ANALYSIS</t>
  </si>
  <si>
    <t xml:space="preserve">INITIAL ASSESSMENT (Before Actions)</t>
  </si>
  <si>
    <t xml:space="preserve">ACTIONS</t>
  </si>
  <si>
    <t xml:space="preserve">REVISED ASSESSMENT (After Actions)</t>
  </si>
  <si>
    <t xml:space="preserve">Item/
Function</t>
  </si>
  <si>
    <t xml:space="preserve">Potential
Failure Mode</t>
  </si>
  <si>
    <t xml:space="preserve">Potential
Effect(s) of
Failure</t>
  </si>
  <si>
    <t xml:space="preserve">SEV</t>
  </si>
  <si>
    <t xml:space="preserve">Class</t>
  </si>
  <si>
    <t xml:space="preserve">Potential
Cause(s) of
Failure</t>
  </si>
  <si>
    <t xml:space="preserve">OCC</t>
  </si>
  <si>
    <t xml:space="preserve">Current
Design
Controls</t>
  </si>
  <si>
    <t xml:space="preserve">DET</t>
  </si>
  <si>
    <t xml:space="preserve">RPN</t>
  </si>
  <si>
    <t xml:space="preserve">Recommended
Action(s)</t>
  </si>
  <si>
    <t xml:space="preserve">Responsibility
&amp; Target Date</t>
  </si>
  <si>
    <t xml:space="preserve">Action
Taken</t>
  </si>
  <si>
    <t xml:space="preserve">Battery Cell Containment</t>
  </si>
  <si>
    <t xml:space="preserve">Cell rupture during thermal runaway</t>
  </si>
  <si>
    <t xml:space="preserve">Fire, injury to user, property damage</t>
  </si>
  <si>
    <t xml:space="preserve">Internal short circuit from manufacturing defect</t>
  </si>
  <si>
    <t xml:space="preserve">Incoming CT scan, pressure relief valve</t>
  </si>
  <si>
    <t xml:space="preserve">Add thermal barrier between cells, implement abuse testing per UL 2580</t>
  </si>
  <si>
    <t xml:space="preserve">Design Team / 2025-03-15</t>
  </si>
  <si>
    <t xml:space="preserve">Thermal barrier added, abuse testing passed</t>
  </si>
  <si>
    <t xml:space="preserve">Battery Management System</t>
  </si>
  <si>
    <t xml:space="preserve">BMS fails to detect overcharge</t>
  </si>
  <si>
    <t xml:space="preserve">Cell degradation, reduced capacity, potential fire</t>
  </si>
  <si>
    <t xml:space="preserve">Software bug in voltage monitoring algorithm</t>
  </si>
  <si>
    <t xml:space="preserve">Software FMEA, code reviews, bench testing</t>
  </si>
  <si>
    <t xml:space="preserve">Implement redundant voltage sensing, add watchdog timer</t>
  </si>
  <si>
    <t xml:space="preserve">Electrical Team / 2025-03-30</t>
  </si>
  <si>
    <t xml:space="preserve">DFMEA RATING CRITERIA - AIAG REFERENCE</t>
  </si>
  <si>
    <t xml:space="preserve">SEVERITY (SEV) - Effect on Customer</t>
  </si>
  <si>
    <t xml:space="preserve">Rating</t>
  </si>
  <si>
    <t xml:space="preserve">Criteria</t>
  </si>
  <si>
    <t xml:space="preserve">Description</t>
  </si>
  <si>
    <t xml:space="preserve">Hazardous without warning</t>
  </si>
  <si>
    <t xml:space="preserve">Very high severity - Safety related, non-compliance with regulations</t>
  </si>
  <si>
    <t xml:space="preserve">Hazardous with warning</t>
  </si>
  <si>
    <t xml:space="preserve">High severity - Safety related with warning</t>
  </si>
  <si>
    <t xml:space="preserve">Very High</t>
  </si>
  <si>
    <t xml:space="preserve">Product inoperable, loss of primary function</t>
  </si>
  <si>
    <t xml:space="preserve">High</t>
  </si>
  <si>
    <t xml:space="preserve">Product performance severely degraded</t>
  </si>
  <si>
    <t xml:space="preserve">Moderate</t>
  </si>
  <si>
    <t xml:space="preserve">Product performance degraded, comfort/convenience affected</t>
  </si>
  <si>
    <t xml:space="preserve">Low</t>
  </si>
  <si>
    <t xml:space="preserve">Product performance slightly degraded</t>
  </si>
  <si>
    <t xml:space="preserve">Very Low</t>
  </si>
  <si>
    <t xml:space="preserve">Fit &amp; finish/squeak &amp; rattle item does not conform</t>
  </si>
  <si>
    <t xml:space="preserve">Minor</t>
  </si>
  <si>
    <t xml:space="preserve">Fit &amp; finish/squeak &amp; rattle item barely noticeable</t>
  </si>
  <si>
    <t xml:space="preserve">Very Minor</t>
  </si>
  <si>
    <t xml:space="preserve">Fit &amp; finish/squeak &amp; rattle item noticed by discriminating customers</t>
  </si>
  <si>
    <t xml:space="preserve">None</t>
  </si>
  <si>
    <t xml:space="preserve">No effect</t>
  </si>
  <si>
    <t xml:space="preserve">OCCURRENCE (OCC) - Likelihood of Cause</t>
  </si>
  <si>
    <t xml:space="preserve">Probability</t>
  </si>
  <si>
    <t xml:space="preserve">Almost Certain</t>
  </si>
  <si>
    <t xml:space="preserve">≥ 1 in 2</t>
  </si>
  <si>
    <t xml:space="preserve">1 in 3</t>
  </si>
  <si>
    <t xml:space="preserve">1 in 8</t>
  </si>
  <si>
    <t xml:space="preserve">Moderately High</t>
  </si>
  <si>
    <t xml:space="preserve">1 in 20</t>
  </si>
  <si>
    <t xml:space="preserve">1 in 80</t>
  </si>
  <si>
    <t xml:space="preserve">1 in 400</t>
  </si>
  <si>
    <t xml:space="preserve">Moderately Low</t>
  </si>
  <si>
    <t xml:space="preserve">1 in 2,000</t>
  </si>
  <si>
    <t xml:space="preserve">Remote</t>
  </si>
  <si>
    <t xml:space="preserve">1 in 15,000</t>
  </si>
  <si>
    <t xml:space="preserve">Very Remote</t>
  </si>
  <si>
    <t xml:space="preserve">1 in 150,000</t>
  </si>
  <si>
    <t xml:space="preserve">Nearly Impossible</t>
  </si>
  <si>
    <t xml:space="preserve">&lt; 1 in 1,500,000</t>
  </si>
  <si>
    <t xml:space="preserve">DETECTION (DET) - Likelihood of Detection Before Release</t>
  </si>
  <si>
    <t xml:space="preserve">Likelihood</t>
  </si>
  <si>
    <t xml:space="preserve">Almost Impossible</t>
  </si>
  <si>
    <t xml:space="preserve">Design control will not and/or cannot detect</t>
  </si>
  <si>
    <t xml:space="preserve">Very remote chance detection will occur</t>
  </si>
  <si>
    <t xml:space="preserve">Remote chance detection will occur</t>
  </si>
  <si>
    <t xml:space="preserve">Very low chance detection will occur</t>
  </si>
  <si>
    <t xml:space="preserve">Low chance detection will occur</t>
  </si>
  <si>
    <t xml:space="preserve">Moderate chance detection will occur</t>
  </si>
  <si>
    <t xml:space="preserve">Moderately high chance detection will occur</t>
  </si>
  <si>
    <t xml:space="preserve">High chance detection will occur</t>
  </si>
  <si>
    <t xml:space="preserve">Very high chance detection will occur</t>
  </si>
  <si>
    <t xml:space="preserve">Design control will almost certainly detect</t>
  </si>
  <si>
    <t xml:space="preserve">RPN INTERPRETATION &amp; ACTION PRIORITY</t>
  </si>
  <si>
    <t xml:space="preserve">Condition</t>
  </si>
  <si>
    <t xml:space="preserve">Priority</t>
  </si>
  <si>
    <t xml:space="preserve">Action</t>
  </si>
  <si>
    <t xml:space="preserve">RPN &gt; 200</t>
  </si>
  <si>
    <t xml:space="preserve">Critical</t>
  </si>
  <si>
    <t xml:space="preserve">Immediate action required</t>
  </si>
  <si>
    <t xml:space="preserve">RPN 100-200</t>
  </si>
  <si>
    <t xml:space="preserve">High Priority</t>
  </si>
  <si>
    <t xml:space="preserve">Action required before production</t>
  </si>
  <si>
    <t xml:space="preserve">RPN 40-99</t>
  </si>
  <si>
    <t xml:space="preserve">Medium Priority</t>
  </si>
  <si>
    <t xml:space="preserve">Action recommended</t>
  </si>
  <si>
    <t xml:space="preserve">RPN &lt; 40</t>
  </si>
  <si>
    <t xml:space="preserve">Low Priority</t>
  </si>
  <si>
    <t xml:space="preserve">Monitor, action optional</t>
  </si>
  <si>
    <t xml:space="preserve">SEV = 9 or 10</t>
  </si>
  <si>
    <t xml:space="preserve">Critical Safety</t>
  </si>
  <si>
    <t xml:space="preserve">Action required regardless of RPN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</si>
</sst>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i val="true"/>
      <sz val="10"/>
      <color rgb="FF7F7F7F"/>
      <name val="Cambria"/>
      <family val="0"/>
      <charset val="1"/>
    </font>
    <font>
      <b val="true"/>
      <sz val="9"/>
      <name val="Cambria"/>
      <family val="0"/>
      <charset val="1"/>
    </font>
    <font>
      <sz val="9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sz val="9"/>
      <color rgb="FF00000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AEEF3"/>
        <bgColor rgb="FFCCFFFF"/>
      </patternFill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D9D9D9"/>
        <bgColor rgb="FFDAEE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AEE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5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5"/>
    <col collapsed="false" customWidth="true" hidden="false" outlineLevel="0" max="8" min="8" style="0" width="15"/>
    <col collapsed="false" customWidth="true" hidden="false" outlineLevel="0" max="9" min="9" style="0" width="5"/>
    <col collapsed="false" customWidth="true" hidden="false" outlineLevel="0" max="10" min="10" style="0" width="6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6" min="14" style="0" width="5"/>
    <col collapsed="false" customWidth="true" hidden="false" outlineLevel="0" max="17" min="17" style="0" width="6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false" outlineLevel="0" collapsed="false">
      <c r="A3" s="3" t="s">
        <v>2</v>
      </c>
      <c r="B3" s="4" t="s">
        <v>3</v>
      </c>
      <c r="D3" s="3" t="s">
        <v>4</v>
      </c>
      <c r="E3" s="4" t="s">
        <v>5</v>
      </c>
      <c r="G3" s="3" t="s">
        <v>6</v>
      </c>
      <c r="H3" s="4" t="s">
        <v>7</v>
      </c>
      <c r="J3" s="3" t="s">
        <v>8</v>
      </c>
      <c r="K3" s="4" t="s">
        <v>9</v>
      </c>
      <c r="M3" s="3" t="s">
        <v>10</v>
      </c>
      <c r="N3" s="4" t="s">
        <v>11</v>
      </c>
    </row>
    <row r="4" customFormat="false" ht="23.85" hidden="false" customHeight="true" outlineLevel="0" collapsed="false">
      <c r="A4" s="5" t="s">
        <v>12</v>
      </c>
      <c r="B4" s="5"/>
      <c r="C4" s="5"/>
      <c r="D4" s="5" t="s">
        <v>13</v>
      </c>
      <c r="E4" s="5"/>
      <c r="F4" s="5"/>
      <c r="G4" s="5"/>
      <c r="H4" s="5"/>
      <c r="I4" s="5"/>
      <c r="J4" s="5"/>
      <c r="K4" s="5" t="s">
        <v>14</v>
      </c>
      <c r="L4" s="5"/>
      <c r="M4" s="5"/>
      <c r="N4" s="5" t="s">
        <v>15</v>
      </c>
      <c r="O4" s="5"/>
      <c r="P4" s="5"/>
      <c r="Q4" s="5"/>
    </row>
    <row r="5" customFormat="false" ht="32.8" hidden="false" customHeight="fals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6" t="s">
        <v>24</v>
      </c>
      <c r="J5" s="6" t="s">
        <v>25</v>
      </c>
      <c r="K5" s="6" t="s">
        <v>26</v>
      </c>
      <c r="L5" s="6" t="s">
        <v>27</v>
      </c>
      <c r="M5" s="6" t="s">
        <v>28</v>
      </c>
      <c r="N5" s="6" t="s">
        <v>19</v>
      </c>
      <c r="O5" s="6" t="s">
        <v>22</v>
      </c>
      <c r="P5" s="6" t="s">
        <v>24</v>
      </c>
      <c r="Q5" s="6" t="s">
        <v>25</v>
      </c>
    </row>
    <row r="6" customFormat="false" ht="43.25" hidden="false" customHeight="false" outlineLevel="0" collapsed="false">
      <c r="A6" s="7" t="s">
        <v>29</v>
      </c>
      <c r="B6" s="7" t="s">
        <v>30</v>
      </c>
      <c r="C6" s="7" t="s">
        <v>31</v>
      </c>
      <c r="D6" s="8" t="n">
        <v>10</v>
      </c>
      <c r="E6" s="9" t="str">
        <f aca="false">IF(D6&gt;=9,"Critical",IF(D6&gt;=7,"High",IF(D6&gt;=4,"Medium",IF(D6&gt;=1,"Low",""))))</f>
        <v>Critical</v>
      </c>
      <c r="F6" s="7" t="s">
        <v>32</v>
      </c>
      <c r="G6" s="8" t="n">
        <v>4</v>
      </c>
      <c r="H6" s="7" t="s">
        <v>33</v>
      </c>
      <c r="I6" s="8" t="n">
        <v>6</v>
      </c>
      <c r="J6" s="9" t="n">
        <f aca="false">IF(AND(D6&lt;&gt;"",G6&lt;&gt;"",I6&lt;&gt;""),D6*G6*I6,"")</f>
        <v>240</v>
      </c>
      <c r="K6" s="7" t="s">
        <v>34</v>
      </c>
      <c r="L6" s="7" t="s">
        <v>35</v>
      </c>
      <c r="M6" s="7" t="s">
        <v>36</v>
      </c>
      <c r="N6" s="8" t="n">
        <v>10</v>
      </c>
      <c r="O6" s="8" t="n">
        <v>2</v>
      </c>
      <c r="P6" s="8" t="n">
        <v>4</v>
      </c>
      <c r="Q6" s="9" t="n">
        <f aca="false">IF(AND(N6&lt;&gt;"",O6&lt;&gt;"",P6&lt;&gt;""),N6*O6*P6,"")</f>
        <v>80</v>
      </c>
    </row>
    <row r="7" customFormat="false" ht="32.8" hidden="false" customHeight="false" outlineLevel="0" collapsed="false">
      <c r="A7" s="7" t="s">
        <v>37</v>
      </c>
      <c r="B7" s="7" t="s">
        <v>38</v>
      </c>
      <c r="C7" s="7" t="s">
        <v>39</v>
      </c>
      <c r="D7" s="8" t="n">
        <v>9</v>
      </c>
      <c r="E7" s="9" t="str">
        <f aca="false">IF(D7&gt;=9,"Critical",IF(D7&gt;=7,"High",IF(D7&gt;=4,"Medium",IF(D7&gt;=1,"Low",""))))</f>
        <v>Critical</v>
      </c>
      <c r="F7" s="7" t="s">
        <v>40</v>
      </c>
      <c r="G7" s="8" t="n">
        <v>3</v>
      </c>
      <c r="H7" s="7" t="s">
        <v>41</v>
      </c>
      <c r="I7" s="8" t="n">
        <v>5</v>
      </c>
      <c r="J7" s="9" t="n">
        <f aca="false">IF(AND(D7&lt;&gt;"",G7&lt;&gt;"",I7&lt;&gt;""),D7*G7*I7,"")</f>
        <v>135</v>
      </c>
      <c r="K7" s="7" t="s">
        <v>42</v>
      </c>
      <c r="L7" s="7" t="s">
        <v>43</v>
      </c>
      <c r="M7" s="7"/>
      <c r="N7" s="8"/>
      <c r="O7" s="8"/>
      <c r="P7" s="8"/>
      <c r="Q7" s="9" t="str">
        <f aca="false">IF(AND(N7&lt;&gt;"",O7&lt;&gt;"",P7&lt;&gt;""),N7*O7*P7,"")</f>
        <v/>
      </c>
    </row>
    <row r="8" customFormat="false" ht="15" hidden="false" customHeight="false" outlineLevel="0" collapsed="false">
      <c r="A8" s="7"/>
      <c r="B8" s="7"/>
      <c r="C8" s="7"/>
      <c r="D8" s="8"/>
      <c r="E8" s="9" t="str">
        <f aca="false">IF(D8&gt;=9,"Critical",IF(D8&gt;=7,"High",IF(D8&gt;=4,"Medium",IF(D8&gt;=1,"Low",""))))</f>
        <v/>
      </c>
      <c r="F8" s="7"/>
      <c r="G8" s="8"/>
      <c r="H8" s="7"/>
      <c r="I8" s="8"/>
      <c r="J8" s="9" t="str">
        <f aca="false">IF(AND(D8&lt;&gt;"",G8&lt;&gt;"",I8&lt;&gt;""),D8*G8*I8,"")</f>
        <v/>
      </c>
      <c r="K8" s="7"/>
      <c r="L8" s="7"/>
      <c r="M8" s="7"/>
      <c r="N8" s="8"/>
      <c r="O8" s="8"/>
      <c r="P8" s="8"/>
      <c r="Q8" s="9" t="str">
        <f aca="false">IF(AND(N8&lt;&gt;"",O8&lt;&gt;"",P8&lt;&gt;""),N8*O8*P8,"")</f>
        <v/>
      </c>
    </row>
    <row r="9" customFormat="false" ht="15" hidden="false" customHeight="false" outlineLevel="0" collapsed="false">
      <c r="A9" s="7"/>
      <c r="B9" s="7"/>
      <c r="C9" s="7"/>
      <c r="D9" s="8"/>
      <c r="E9" s="9" t="str">
        <f aca="false">IF(D9&gt;=9,"Critical",IF(D9&gt;=7,"High",IF(D9&gt;=4,"Medium",IF(D9&gt;=1,"Low",""))))</f>
        <v/>
      </c>
      <c r="F9" s="7"/>
      <c r="G9" s="8"/>
      <c r="H9" s="7"/>
      <c r="I9" s="8"/>
      <c r="J9" s="9" t="str">
        <f aca="false">IF(AND(D9&lt;&gt;"",G9&lt;&gt;"",I9&lt;&gt;""),D9*G9*I9,"")</f>
        <v/>
      </c>
      <c r="K9" s="7"/>
      <c r="L9" s="7"/>
      <c r="M9" s="7"/>
      <c r="N9" s="8"/>
      <c r="O9" s="8"/>
      <c r="P9" s="8"/>
      <c r="Q9" s="9" t="str">
        <f aca="false">IF(AND(N9&lt;&gt;"",O9&lt;&gt;"",P9&lt;&gt;""),N9*O9*P9,"")</f>
        <v/>
      </c>
    </row>
    <row r="10" customFormat="false" ht="15" hidden="false" customHeight="false" outlineLevel="0" collapsed="false">
      <c r="A10" s="7"/>
      <c r="B10" s="7"/>
      <c r="C10" s="7"/>
      <c r="D10" s="8"/>
      <c r="E10" s="9" t="str">
        <f aca="false">IF(D10&gt;=9,"Critical",IF(D10&gt;=7,"High",IF(D10&gt;=4,"Medium",IF(D10&gt;=1,"Low",""))))</f>
        <v/>
      </c>
      <c r="F10" s="7"/>
      <c r="G10" s="8"/>
      <c r="H10" s="7"/>
      <c r="I10" s="8"/>
      <c r="J10" s="9" t="str">
        <f aca="false">IF(AND(D10&lt;&gt;"",G10&lt;&gt;"",I10&lt;&gt;""),D10*G10*I10,"")</f>
        <v/>
      </c>
      <c r="K10" s="7"/>
      <c r="L10" s="7"/>
      <c r="M10" s="7"/>
      <c r="N10" s="8"/>
      <c r="O10" s="8"/>
      <c r="P10" s="8"/>
      <c r="Q10" s="9" t="str">
        <f aca="false">IF(AND(N10&lt;&gt;"",O10&lt;&gt;"",P10&lt;&gt;""),N10*O10*P10,"")</f>
        <v/>
      </c>
    </row>
    <row r="11" customFormat="false" ht="15" hidden="false" customHeight="false" outlineLevel="0" collapsed="false">
      <c r="A11" s="7"/>
      <c r="B11" s="7"/>
      <c r="C11" s="7"/>
      <c r="D11" s="8"/>
      <c r="E11" s="9" t="str">
        <f aca="false">IF(D11&gt;=9,"Critical",IF(D11&gt;=7,"High",IF(D11&gt;=4,"Medium",IF(D11&gt;=1,"Low",""))))</f>
        <v/>
      </c>
      <c r="F11" s="7"/>
      <c r="G11" s="8"/>
      <c r="H11" s="7"/>
      <c r="I11" s="8"/>
      <c r="J11" s="9" t="str">
        <f aca="false">IF(AND(D11&lt;&gt;"",G11&lt;&gt;"",I11&lt;&gt;""),D11*G11*I11,"")</f>
        <v/>
      </c>
      <c r="K11" s="7"/>
      <c r="L11" s="7"/>
      <c r="M11" s="7"/>
      <c r="N11" s="8"/>
      <c r="O11" s="8"/>
      <c r="P11" s="8"/>
      <c r="Q11" s="9" t="str">
        <f aca="false">IF(AND(N11&lt;&gt;"",O11&lt;&gt;"",P11&lt;&gt;""),N11*O11*P11,"")</f>
        <v/>
      </c>
    </row>
    <row r="12" customFormat="false" ht="15" hidden="false" customHeight="false" outlineLevel="0" collapsed="false">
      <c r="A12" s="7"/>
      <c r="B12" s="7"/>
      <c r="C12" s="7"/>
      <c r="D12" s="8"/>
      <c r="E12" s="9" t="str">
        <f aca="false">IF(D12&gt;=9,"Critical",IF(D12&gt;=7,"High",IF(D12&gt;=4,"Medium",IF(D12&gt;=1,"Low",""))))</f>
        <v/>
      </c>
      <c r="F12" s="7"/>
      <c r="G12" s="8"/>
      <c r="H12" s="7"/>
      <c r="I12" s="8"/>
      <c r="J12" s="9" t="str">
        <f aca="false">IF(AND(D12&lt;&gt;"",G12&lt;&gt;"",I12&lt;&gt;""),D12*G12*I12,"")</f>
        <v/>
      </c>
      <c r="K12" s="7"/>
      <c r="L12" s="7"/>
      <c r="M12" s="7"/>
      <c r="N12" s="8"/>
      <c r="O12" s="8"/>
      <c r="P12" s="8"/>
      <c r="Q12" s="9" t="str">
        <f aca="false">IF(AND(N12&lt;&gt;"",O12&lt;&gt;"",P12&lt;&gt;""),N12*O12*P12,"")</f>
        <v/>
      </c>
    </row>
    <row r="13" customFormat="false" ht="15" hidden="false" customHeight="false" outlineLevel="0" collapsed="false">
      <c r="A13" s="7"/>
      <c r="B13" s="7"/>
      <c r="C13" s="7"/>
      <c r="D13" s="8"/>
      <c r="E13" s="9" t="str">
        <f aca="false">IF(D13&gt;=9,"Critical",IF(D13&gt;=7,"High",IF(D13&gt;=4,"Medium",IF(D13&gt;=1,"Low",""))))</f>
        <v/>
      </c>
      <c r="F13" s="7"/>
      <c r="G13" s="8"/>
      <c r="H13" s="7"/>
      <c r="I13" s="8"/>
      <c r="J13" s="9" t="str">
        <f aca="false">IF(AND(D13&lt;&gt;"",G13&lt;&gt;"",I13&lt;&gt;""),D13*G13*I13,"")</f>
        <v/>
      </c>
      <c r="K13" s="7"/>
      <c r="L13" s="7"/>
      <c r="M13" s="7"/>
      <c r="N13" s="8"/>
      <c r="O13" s="8"/>
      <c r="P13" s="8"/>
      <c r="Q13" s="9" t="str">
        <f aca="false">IF(AND(N13&lt;&gt;"",O13&lt;&gt;"",P13&lt;&gt;""),N13*O13*P13,"")</f>
        <v/>
      </c>
    </row>
    <row r="14" customFormat="false" ht="15" hidden="false" customHeight="false" outlineLevel="0" collapsed="false">
      <c r="A14" s="7"/>
      <c r="B14" s="7"/>
      <c r="C14" s="7"/>
      <c r="D14" s="8"/>
      <c r="E14" s="9" t="str">
        <f aca="false">IF(D14&gt;=9,"Critical",IF(D14&gt;=7,"High",IF(D14&gt;=4,"Medium",IF(D14&gt;=1,"Low",""))))</f>
        <v/>
      </c>
      <c r="F14" s="7"/>
      <c r="G14" s="8"/>
      <c r="H14" s="7"/>
      <c r="I14" s="8"/>
      <c r="J14" s="9" t="str">
        <f aca="false">IF(AND(D14&lt;&gt;"",G14&lt;&gt;"",I14&lt;&gt;""),D14*G14*I14,"")</f>
        <v/>
      </c>
      <c r="K14" s="7"/>
      <c r="L14" s="7"/>
      <c r="M14" s="7"/>
      <c r="N14" s="8"/>
      <c r="O14" s="8"/>
      <c r="P14" s="8"/>
      <c r="Q14" s="9" t="str">
        <f aca="false">IF(AND(N14&lt;&gt;"",O14&lt;&gt;"",P14&lt;&gt;""),N14*O14*P14,"")</f>
        <v/>
      </c>
    </row>
    <row r="15" customFormat="false" ht="15" hidden="false" customHeight="false" outlineLevel="0" collapsed="false">
      <c r="A15" s="7"/>
      <c r="B15" s="7"/>
      <c r="C15" s="7"/>
      <c r="D15" s="8"/>
      <c r="E15" s="9" t="str">
        <f aca="false">IF(D15&gt;=9,"Critical",IF(D15&gt;=7,"High",IF(D15&gt;=4,"Medium",IF(D15&gt;=1,"Low",""))))</f>
        <v/>
      </c>
      <c r="F15" s="7"/>
      <c r="G15" s="8"/>
      <c r="H15" s="7"/>
      <c r="I15" s="8"/>
      <c r="J15" s="9" t="str">
        <f aca="false">IF(AND(D15&lt;&gt;"",G15&lt;&gt;"",I15&lt;&gt;""),D15*G15*I15,"")</f>
        <v/>
      </c>
      <c r="K15" s="7"/>
      <c r="L15" s="7"/>
      <c r="M15" s="7"/>
      <c r="N15" s="8"/>
      <c r="O15" s="8"/>
      <c r="P15" s="8"/>
      <c r="Q15" s="9" t="str">
        <f aca="false">IF(AND(N15&lt;&gt;"",O15&lt;&gt;"",P15&lt;&gt;""),N15*O15*P15,"")</f>
        <v/>
      </c>
    </row>
    <row r="16" customFormat="false" ht="15" hidden="false" customHeight="false" outlineLevel="0" collapsed="false">
      <c r="A16" s="7"/>
      <c r="B16" s="7"/>
      <c r="C16" s="7"/>
      <c r="D16" s="8"/>
      <c r="E16" s="9" t="str">
        <f aca="false">IF(D16&gt;=9,"Critical",IF(D16&gt;=7,"High",IF(D16&gt;=4,"Medium",IF(D16&gt;=1,"Low",""))))</f>
        <v/>
      </c>
      <c r="F16" s="7"/>
      <c r="G16" s="8"/>
      <c r="H16" s="7"/>
      <c r="I16" s="8"/>
      <c r="J16" s="9" t="str">
        <f aca="false">IF(AND(D16&lt;&gt;"",G16&lt;&gt;"",I16&lt;&gt;""),D16*G16*I16,"")</f>
        <v/>
      </c>
      <c r="K16" s="7"/>
      <c r="L16" s="7"/>
      <c r="M16" s="7"/>
      <c r="N16" s="8"/>
      <c r="O16" s="8"/>
      <c r="P16" s="8"/>
      <c r="Q16" s="9" t="str">
        <f aca="false">IF(AND(N16&lt;&gt;"",O16&lt;&gt;"",P16&lt;&gt;""),N16*O16*P16,"")</f>
        <v/>
      </c>
    </row>
    <row r="17" customFormat="false" ht="15" hidden="false" customHeight="false" outlineLevel="0" collapsed="false">
      <c r="A17" s="7"/>
      <c r="B17" s="7"/>
      <c r="C17" s="7"/>
      <c r="D17" s="8"/>
      <c r="E17" s="9" t="str">
        <f aca="false">IF(D17&gt;=9,"Critical",IF(D17&gt;=7,"High",IF(D17&gt;=4,"Medium",IF(D17&gt;=1,"Low",""))))</f>
        <v/>
      </c>
      <c r="F17" s="7"/>
      <c r="G17" s="8"/>
      <c r="H17" s="7"/>
      <c r="I17" s="8"/>
      <c r="J17" s="9" t="str">
        <f aca="false">IF(AND(D17&lt;&gt;"",G17&lt;&gt;"",I17&lt;&gt;""),D17*G17*I17,"")</f>
        <v/>
      </c>
      <c r="K17" s="7"/>
      <c r="L17" s="7"/>
      <c r="M17" s="7"/>
      <c r="N17" s="8"/>
      <c r="O17" s="8"/>
      <c r="P17" s="8"/>
      <c r="Q17" s="9" t="str">
        <f aca="false">IF(AND(N17&lt;&gt;"",O17&lt;&gt;"",P17&lt;&gt;""),N17*O17*P17,"")</f>
        <v/>
      </c>
    </row>
    <row r="18" customFormat="false" ht="15" hidden="false" customHeight="false" outlineLevel="0" collapsed="false">
      <c r="A18" s="7"/>
      <c r="B18" s="7"/>
      <c r="C18" s="7"/>
      <c r="D18" s="8"/>
      <c r="E18" s="9" t="str">
        <f aca="false">IF(D18&gt;=9,"Critical",IF(D18&gt;=7,"High",IF(D18&gt;=4,"Medium",IF(D18&gt;=1,"Low",""))))</f>
        <v/>
      </c>
      <c r="F18" s="7"/>
      <c r="G18" s="8"/>
      <c r="H18" s="7"/>
      <c r="I18" s="8"/>
      <c r="J18" s="9" t="str">
        <f aca="false">IF(AND(D18&lt;&gt;"",G18&lt;&gt;"",I18&lt;&gt;""),D18*G18*I18,"")</f>
        <v/>
      </c>
      <c r="K18" s="7"/>
      <c r="L18" s="7"/>
      <c r="M18" s="7"/>
      <c r="N18" s="8"/>
      <c r="O18" s="8"/>
      <c r="P18" s="8"/>
      <c r="Q18" s="9" t="str">
        <f aca="false">IF(AND(N18&lt;&gt;"",O18&lt;&gt;"",P18&lt;&gt;""),N18*O18*P18,"")</f>
        <v/>
      </c>
    </row>
    <row r="19" customFormat="false" ht="15" hidden="false" customHeight="false" outlineLevel="0" collapsed="false">
      <c r="A19" s="7"/>
      <c r="B19" s="7"/>
      <c r="C19" s="7"/>
      <c r="D19" s="8"/>
      <c r="E19" s="9" t="str">
        <f aca="false">IF(D19&gt;=9,"Critical",IF(D19&gt;=7,"High",IF(D19&gt;=4,"Medium",IF(D19&gt;=1,"Low",""))))</f>
        <v/>
      </c>
      <c r="F19" s="7"/>
      <c r="G19" s="8"/>
      <c r="H19" s="7"/>
      <c r="I19" s="8"/>
      <c r="J19" s="9" t="str">
        <f aca="false">IF(AND(D19&lt;&gt;"",G19&lt;&gt;"",I19&lt;&gt;""),D19*G19*I19,"")</f>
        <v/>
      </c>
      <c r="K19" s="7"/>
      <c r="L19" s="7"/>
      <c r="M19" s="7"/>
      <c r="N19" s="8"/>
      <c r="O19" s="8"/>
      <c r="P19" s="8"/>
      <c r="Q19" s="9" t="str">
        <f aca="false">IF(AND(N19&lt;&gt;"",O19&lt;&gt;"",P19&lt;&gt;""),N19*O19*P19,"")</f>
        <v/>
      </c>
    </row>
    <row r="20" customFormat="false" ht="15" hidden="false" customHeight="false" outlineLevel="0" collapsed="false">
      <c r="A20" s="7"/>
      <c r="B20" s="7"/>
      <c r="C20" s="7"/>
      <c r="D20" s="8"/>
      <c r="E20" s="9" t="str">
        <f aca="false">IF(D20&gt;=9,"Critical",IF(D20&gt;=7,"High",IF(D20&gt;=4,"Medium",IF(D20&gt;=1,"Low",""))))</f>
        <v/>
      </c>
      <c r="F20" s="7"/>
      <c r="G20" s="8"/>
      <c r="H20" s="7"/>
      <c r="I20" s="8"/>
      <c r="J20" s="9" t="str">
        <f aca="false">IF(AND(D20&lt;&gt;"",G20&lt;&gt;"",I20&lt;&gt;""),D20*G20*I20,"")</f>
        <v/>
      </c>
      <c r="K20" s="7"/>
      <c r="L20" s="7"/>
      <c r="M20" s="7"/>
      <c r="N20" s="8"/>
      <c r="O20" s="8"/>
      <c r="P20" s="8"/>
      <c r="Q20" s="9" t="str">
        <f aca="false">IF(AND(N20&lt;&gt;"",O20&lt;&gt;"",P20&lt;&gt;""),N20*O20*P20,"")</f>
        <v/>
      </c>
    </row>
    <row r="21" customFormat="false" ht="15" hidden="false" customHeight="false" outlineLevel="0" collapsed="false">
      <c r="A21" s="7"/>
      <c r="B21" s="7"/>
      <c r="C21" s="7"/>
      <c r="D21" s="8"/>
      <c r="E21" s="9" t="str">
        <f aca="false">IF(D21&gt;=9,"Critical",IF(D21&gt;=7,"High",IF(D21&gt;=4,"Medium",IF(D21&gt;=1,"Low",""))))</f>
        <v/>
      </c>
      <c r="F21" s="7"/>
      <c r="G21" s="8"/>
      <c r="H21" s="7"/>
      <c r="I21" s="8"/>
      <c r="J21" s="9" t="str">
        <f aca="false">IF(AND(D21&lt;&gt;"",G21&lt;&gt;"",I21&lt;&gt;""),D21*G21*I21,"")</f>
        <v/>
      </c>
      <c r="K21" s="7"/>
      <c r="L21" s="7"/>
      <c r="M21" s="7"/>
      <c r="N21" s="8"/>
      <c r="O21" s="8"/>
      <c r="P21" s="8"/>
      <c r="Q21" s="9" t="str">
        <f aca="false">IF(AND(N21&lt;&gt;"",O21&lt;&gt;"",P21&lt;&gt;""),N21*O21*P21,"")</f>
        <v/>
      </c>
    </row>
    <row r="22" customFormat="false" ht="15" hidden="false" customHeight="false" outlineLevel="0" collapsed="false">
      <c r="A22" s="7"/>
      <c r="B22" s="7"/>
      <c r="C22" s="7"/>
      <c r="D22" s="8"/>
      <c r="E22" s="9" t="str">
        <f aca="false">IF(D22&gt;=9,"Critical",IF(D22&gt;=7,"High",IF(D22&gt;=4,"Medium",IF(D22&gt;=1,"Low",""))))</f>
        <v/>
      </c>
      <c r="F22" s="7"/>
      <c r="G22" s="8"/>
      <c r="H22" s="7"/>
      <c r="I22" s="8"/>
      <c r="J22" s="9" t="str">
        <f aca="false">IF(AND(D22&lt;&gt;"",G22&lt;&gt;"",I22&lt;&gt;""),D22*G22*I22,"")</f>
        <v/>
      </c>
      <c r="K22" s="7"/>
      <c r="L22" s="7"/>
      <c r="M22" s="7"/>
      <c r="N22" s="8"/>
      <c r="O22" s="8"/>
      <c r="P22" s="8"/>
      <c r="Q22" s="9" t="str">
        <f aca="false">IF(AND(N22&lt;&gt;"",O22&lt;&gt;"",P22&lt;&gt;""),N22*O22*P22,"")</f>
        <v/>
      </c>
    </row>
    <row r="23" customFormat="false" ht="15" hidden="false" customHeight="false" outlineLevel="0" collapsed="false">
      <c r="A23" s="7"/>
      <c r="B23" s="7"/>
      <c r="C23" s="7"/>
      <c r="D23" s="8"/>
      <c r="E23" s="9" t="str">
        <f aca="false">IF(D23&gt;=9,"Critical",IF(D23&gt;=7,"High",IF(D23&gt;=4,"Medium",IF(D23&gt;=1,"Low",""))))</f>
        <v/>
      </c>
      <c r="F23" s="7"/>
      <c r="G23" s="8"/>
      <c r="H23" s="7"/>
      <c r="I23" s="8"/>
      <c r="J23" s="9" t="str">
        <f aca="false">IF(AND(D23&lt;&gt;"",G23&lt;&gt;"",I23&lt;&gt;""),D23*G23*I23,"")</f>
        <v/>
      </c>
      <c r="K23" s="7"/>
      <c r="L23" s="7"/>
      <c r="M23" s="7"/>
      <c r="N23" s="8"/>
      <c r="O23" s="8"/>
      <c r="P23" s="8"/>
      <c r="Q23" s="9" t="str">
        <f aca="false">IF(AND(N23&lt;&gt;"",O23&lt;&gt;"",P23&lt;&gt;""),N23*O23*P23,"")</f>
        <v/>
      </c>
    </row>
    <row r="24" customFormat="false" ht="15" hidden="false" customHeight="false" outlineLevel="0" collapsed="false">
      <c r="A24" s="7"/>
      <c r="B24" s="7"/>
      <c r="C24" s="7"/>
      <c r="D24" s="8"/>
      <c r="E24" s="9" t="str">
        <f aca="false">IF(D24&gt;=9,"Critical",IF(D24&gt;=7,"High",IF(D24&gt;=4,"Medium",IF(D24&gt;=1,"Low",""))))</f>
        <v/>
      </c>
      <c r="F24" s="7"/>
      <c r="G24" s="8"/>
      <c r="H24" s="7"/>
      <c r="I24" s="8"/>
      <c r="J24" s="9" t="str">
        <f aca="false">IF(AND(D24&lt;&gt;"",G24&lt;&gt;"",I24&lt;&gt;""),D24*G24*I24,"")</f>
        <v/>
      </c>
      <c r="K24" s="7"/>
      <c r="L24" s="7"/>
      <c r="M24" s="7"/>
      <c r="N24" s="8"/>
      <c r="O24" s="8"/>
      <c r="P24" s="8"/>
      <c r="Q24" s="9" t="str">
        <f aca="false">IF(AND(N24&lt;&gt;"",O24&lt;&gt;"",P24&lt;&gt;""),N24*O24*P24,"")</f>
        <v/>
      </c>
    </row>
    <row r="25" customFormat="false" ht="15" hidden="false" customHeight="false" outlineLevel="0" collapsed="false">
      <c r="A25" s="7"/>
      <c r="B25" s="7"/>
      <c r="C25" s="7"/>
      <c r="D25" s="8"/>
      <c r="E25" s="9" t="str">
        <f aca="false">IF(D25&gt;=9,"Critical",IF(D25&gt;=7,"High",IF(D25&gt;=4,"Medium",IF(D25&gt;=1,"Low",""))))</f>
        <v/>
      </c>
      <c r="F25" s="7"/>
      <c r="G25" s="8"/>
      <c r="H25" s="7"/>
      <c r="I25" s="8"/>
      <c r="J25" s="9" t="str">
        <f aca="false">IF(AND(D25&lt;&gt;"",G25&lt;&gt;"",I25&lt;&gt;""),D25*G25*I25,"")</f>
        <v/>
      </c>
      <c r="K25" s="7"/>
      <c r="L25" s="7"/>
      <c r="M25" s="7"/>
      <c r="N25" s="8"/>
      <c r="O25" s="8"/>
      <c r="P25" s="8"/>
      <c r="Q25" s="9" t="str">
        <f aca="false">IF(AND(N25&lt;&gt;"",O25&lt;&gt;"",P25&lt;&gt;""),N25*O25*P25,"")</f>
        <v/>
      </c>
    </row>
  </sheetData>
  <mergeCells count="6">
    <mergeCell ref="A1:Q1"/>
    <mergeCell ref="A2:Q2"/>
    <mergeCell ref="A4:C4"/>
    <mergeCell ref="D4:J4"/>
    <mergeCell ref="K4:M4"/>
    <mergeCell ref="N4:Q4"/>
  </mergeCells>
  <dataValidations count="1">
    <dataValidation allowBlank="true" error="Please enter a number between 1 and 10" errorStyle="stop" errorTitle="Invalid Rating" operator="between" showDropDown="false" showErrorMessage="false" showInputMessage="false" sqref="D6:D25 G6:G25 I6:I25 N6:P25" type="whole">
      <formula1>1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15"/>
  </cols>
  <sheetData>
    <row r="1" customFormat="false" ht="17.9" hidden="false" customHeight="true" outlineLevel="0" collapsed="false">
      <c r="A1" s="1" t="s">
        <v>44</v>
      </c>
      <c r="B1" s="1"/>
      <c r="C1" s="1"/>
      <c r="D1" s="1"/>
    </row>
    <row r="3" customFormat="false" ht="15" hidden="false" customHeight="false" outlineLevel="0" collapsed="false">
      <c r="A3" s="10" t="s">
        <v>45</v>
      </c>
      <c r="B3" s="10"/>
      <c r="C3" s="10"/>
      <c r="D3" s="10"/>
    </row>
    <row r="4" customFormat="false" ht="15" hidden="false" customHeight="false" outlineLevel="0" collapsed="false">
      <c r="A4" s="11" t="s">
        <v>46</v>
      </c>
      <c r="B4" s="11" t="s">
        <v>47</v>
      </c>
      <c r="C4" s="11" t="s">
        <v>48</v>
      </c>
    </row>
    <row r="5" customFormat="false" ht="15" hidden="false" customHeight="false" outlineLevel="0" collapsed="false">
      <c r="A5" s="12" t="n">
        <v>10</v>
      </c>
      <c r="B5" s="13" t="s">
        <v>49</v>
      </c>
      <c r="C5" s="13" t="s">
        <v>50</v>
      </c>
    </row>
    <row r="6" customFormat="false" ht="15" hidden="false" customHeight="false" outlineLevel="0" collapsed="false">
      <c r="A6" s="12" t="n">
        <v>9</v>
      </c>
      <c r="B6" s="13" t="s">
        <v>51</v>
      </c>
      <c r="C6" s="13" t="s">
        <v>52</v>
      </c>
    </row>
    <row r="7" customFormat="false" ht="15" hidden="false" customHeight="false" outlineLevel="0" collapsed="false">
      <c r="A7" s="12" t="n">
        <v>8</v>
      </c>
      <c r="B7" s="13" t="s">
        <v>53</v>
      </c>
      <c r="C7" s="13" t="s">
        <v>54</v>
      </c>
    </row>
    <row r="8" customFormat="false" ht="15" hidden="false" customHeight="false" outlineLevel="0" collapsed="false">
      <c r="A8" s="12" t="n">
        <v>7</v>
      </c>
      <c r="B8" s="13" t="s">
        <v>55</v>
      </c>
      <c r="C8" s="13" t="s">
        <v>56</v>
      </c>
    </row>
    <row r="9" customFormat="false" ht="15" hidden="false" customHeight="false" outlineLevel="0" collapsed="false">
      <c r="A9" s="12" t="n">
        <v>6</v>
      </c>
      <c r="B9" s="13" t="s">
        <v>57</v>
      </c>
      <c r="C9" s="13" t="s">
        <v>58</v>
      </c>
    </row>
    <row r="10" customFormat="false" ht="15" hidden="false" customHeight="false" outlineLevel="0" collapsed="false">
      <c r="A10" s="12" t="n">
        <v>5</v>
      </c>
      <c r="B10" s="13" t="s">
        <v>59</v>
      </c>
      <c r="C10" s="13" t="s">
        <v>60</v>
      </c>
    </row>
    <row r="11" customFormat="false" ht="15" hidden="false" customHeight="false" outlineLevel="0" collapsed="false">
      <c r="A11" s="12" t="n">
        <v>4</v>
      </c>
      <c r="B11" s="13" t="s">
        <v>61</v>
      </c>
      <c r="C11" s="13" t="s">
        <v>62</v>
      </c>
    </row>
    <row r="12" customFormat="false" ht="15" hidden="false" customHeight="false" outlineLevel="0" collapsed="false">
      <c r="A12" s="12" t="n">
        <v>3</v>
      </c>
      <c r="B12" s="13" t="s">
        <v>63</v>
      </c>
      <c r="C12" s="13" t="s">
        <v>64</v>
      </c>
    </row>
    <row r="13" customFormat="false" ht="15" hidden="false" customHeight="false" outlineLevel="0" collapsed="false">
      <c r="A13" s="12" t="n">
        <v>2</v>
      </c>
      <c r="B13" s="13" t="s">
        <v>65</v>
      </c>
      <c r="C13" s="13" t="s">
        <v>66</v>
      </c>
    </row>
    <row r="14" customFormat="false" ht="15" hidden="false" customHeight="false" outlineLevel="0" collapsed="false">
      <c r="A14" s="12" t="n">
        <v>1</v>
      </c>
      <c r="B14" s="13" t="s">
        <v>67</v>
      </c>
      <c r="C14" s="13" t="s">
        <v>68</v>
      </c>
    </row>
    <row r="16" customFormat="false" ht="15" hidden="false" customHeight="false" outlineLevel="0" collapsed="false">
      <c r="A16" s="10" t="s">
        <v>69</v>
      </c>
      <c r="B16" s="10"/>
      <c r="C16" s="10"/>
      <c r="D16" s="10"/>
    </row>
    <row r="17" customFormat="false" ht="15" hidden="false" customHeight="false" outlineLevel="0" collapsed="false">
      <c r="A17" s="11" t="s">
        <v>46</v>
      </c>
      <c r="B17" s="11" t="s">
        <v>47</v>
      </c>
      <c r="C17" s="11" t="s">
        <v>70</v>
      </c>
    </row>
    <row r="18" customFormat="false" ht="15" hidden="false" customHeight="false" outlineLevel="0" collapsed="false">
      <c r="A18" s="12" t="n">
        <v>10</v>
      </c>
      <c r="B18" s="13" t="s">
        <v>71</v>
      </c>
      <c r="C18" s="13" t="s">
        <v>72</v>
      </c>
    </row>
    <row r="19" customFormat="false" ht="15" hidden="false" customHeight="false" outlineLevel="0" collapsed="false">
      <c r="A19" s="12" t="n">
        <v>9</v>
      </c>
      <c r="B19" s="13" t="s">
        <v>53</v>
      </c>
      <c r="C19" s="13" t="s">
        <v>73</v>
      </c>
    </row>
    <row r="20" customFormat="false" ht="15" hidden="false" customHeight="false" outlineLevel="0" collapsed="false">
      <c r="A20" s="12" t="n">
        <v>8</v>
      </c>
      <c r="B20" s="13" t="s">
        <v>55</v>
      </c>
      <c r="C20" s="13" t="s">
        <v>74</v>
      </c>
    </row>
    <row r="21" customFormat="false" ht="15" hidden="false" customHeight="false" outlineLevel="0" collapsed="false">
      <c r="A21" s="12" t="n">
        <v>7</v>
      </c>
      <c r="B21" s="13" t="s">
        <v>75</v>
      </c>
      <c r="C21" s="13" t="s">
        <v>76</v>
      </c>
    </row>
    <row r="22" customFormat="false" ht="15" hidden="false" customHeight="false" outlineLevel="0" collapsed="false">
      <c r="A22" s="12" t="n">
        <v>6</v>
      </c>
      <c r="B22" s="13" t="s">
        <v>57</v>
      </c>
      <c r="C22" s="13" t="s">
        <v>77</v>
      </c>
    </row>
    <row r="23" customFormat="false" ht="15" hidden="false" customHeight="false" outlineLevel="0" collapsed="false">
      <c r="A23" s="12" t="n">
        <v>5</v>
      </c>
      <c r="B23" s="13" t="s">
        <v>59</v>
      </c>
      <c r="C23" s="13" t="s">
        <v>78</v>
      </c>
    </row>
    <row r="24" customFormat="false" ht="15" hidden="false" customHeight="false" outlineLevel="0" collapsed="false">
      <c r="A24" s="12" t="n">
        <v>4</v>
      </c>
      <c r="B24" s="13" t="s">
        <v>79</v>
      </c>
      <c r="C24" s="13" t="s">
        <v>80</v>
      </c>
    </row>
    <row r="25" customFormat="false" ht="15" hidden="false" customHeight="false" outlineLevel="0" collapsed="false">
      <c r="A25" s="12" t="n">
        <v>3</v>
      </c>
      <c r="B25" s="13" t="s">
        <v>81</v>
      </c>
      <c r="C25" s="13" t="s">
        <v>82</v>
      </c>
    </row>
    <row r="26" customFormat="false" ht="15" hidden="false" customHeight="false" outlineLevel="0" collapsed="false">
      <c r="A26" s="12" t="n">
        <v>2</v>
      </c>
      <c r="B26" s="13" t="s">
        <v>83</v>
      </c>
      <c r="C26" s="13" t="s">
        <v>84</v>
      </c>
    </row>
    <row r="27" customFormat="false" ht="15" hidden="false" customHeight="false" outlineLevel="0" collapsed="false">
      <c r="A27" s="12" t="n">
        <v>1</v>
      </c>
      <c r="B27" s="13" t="s">
        <v>85</v>
      </c>
      <c r="C27" s="13" t="s">
        <v>86</v>
      </c>
    </row>
    <row r="29" customFormat="false" ht="15" hidden="false" customHeight="false" outlineLevel="0" collapsed="false">
      <c r="A29" s="10" t="s">
        <v>87</v>
      </c>
      <c r="B29" s="10"/>
      <c r="C29" s="10"/>
      <c r="D29" s="10"/>
    </row>
    <row r="30" customFormat="false" ht="15" hidden="false" customHeight="false" outlineLevel="0" collapsed="false">
      <c r="A30" s="11" t="s">
        <v>46</v>
      </c>
      <c r="B30" s="11" t="s">
        <v>88</v>
      </c>
      <c r="C30" s="11" t="s">
        <v>48</v>
      </c>
    </row>
    <row r="31" customFormat="false" ht="15" hidden="false" customHeight="false" outlineLevel="0" collapsed="false">
      <c r="A31" s="12" t="n">
        <v>10</v>
      </c>
      <c r="B31" s="13" t="s">
        <v>89</v>
      </c>
      <c r="C31" s="13" t="s">
        <v>90</v>
      </c>
    </row>
    <row r="32" customFormat="false" ht="15" hidden="false" customHeight="false" outlineLevel="0" collapsed="false">
      <c r="A32" s="12" t="n">
        <v>9</v>
      </c>
      <c r="B32" s="13" t="s">
        <v>83</v>
      </c>
      <c r="C32" s="13" t="s">
        <v>91</v>
      </c>
    </row>
    <row r="33" customFormat="false" ht="15" hidden="false" customHeight="false" outlineLevel="0" collapsed="false">
      <c r="A33" s="12" t="n">
        <v>8</v>
      </c>
      <c r="B33" s="13" t="s">
        <v>81</v>
      </c>
      <c r="C33" s="13" t="s">
        <v>92</v>
      </c>
    </row>
    <row r="34" customFormat="false" ht="15" hidden="false" customHeight="false" outlineLevel="0" collapsed="false">
      <c r="A34" s="12" t="n">
        <v>7</v>
      </c>
      <c r="B34" s="13" t="s">
        <v>61</v>
      </c>
      <c r="C34" s="13" t="s">
        <v>93</v>
      </c>
    </row>
    <row r="35" customFormat="false" ht="15" hidden="false" customHeight="false" outlineLevel="0" collapsed="false">
      <c r="A35" s="12" t="n">
        <v>6</v>
      </c>
      <c r="B35" s="13" t="s">
        <v>59</v>
      </c>
      <c r="C35" s="13" t="s">
        <v>94</v>
      </c>
    </row>
    <row r="36" customFormat="false" ht="15" hidden="false" customHeight="false" outlineLevel="0" collapsed="false">
      <c r="A36" s="12" t="n">
        <v>5</v>
      </c>
      <c r="B36" s="13" t="s">
        <v>57</v>
      </c>
      <c r="C36" s="13" t="s">
        <v>95</v>
      </c>
    </row>
    <row r="37" customFormat="false" ht="15" hidden="false" customHeight="false" outlineLevel="0" collapsed="false">
      <c r="A37" s="12" t="n">
        <v>4</v>
      </c>
      <c r="B37" s="13" t="s">
        <v>75</v>
      </c>
      <c r="C37" s="13" t="s">
        <v>96</v>
      </c>
    </row>
    <row r="38" customFormat="false" ht="15" hidden="false" customHeight="false" outlineLevel="0" collapsed="false">
      <c r="A38" s="12" t="n">
        <v>3</v>
      </c>
      <c r="B38" s="13" t="s">
        <v>55</v>
      </c>
      <c r="C38" s="13" t="s">
        <v>97</v>
      </c>
    </row>
    <row r="39" customFormat="false" ht="15" hidden="false" customHeight="false" outlineLevel="0" collapsed="false">
      <c r="A39" s="12" t="n">
        <v>2</v>
      </c>
      <c r="B39" s="13" t="s">
        <v>53</v>
      </c>
      <c r="C39" s="13" t="s">
        <v>98</v>
      </c>
    </row>
    <row r="40" customFormat="false" ht="15" hidden="false" customHeight="false" outlineLevel="0" collapsed="false">
      <c r="A40" s="12" t="n">
        <v>1</v>
      </c>
      <c r="B40" s="13" t="s">
        <v>71</v>
      </c>
      <c r="C40" s="13" t="s">
        <v>99</v>
      </c>
    </row>
    <row r="43" customFormat="false" ht="15" hidden="false" customHeight="false" outlineLevel="0" collapsed="false">
      <c r="A43" s="14" t="s">
        <v>100</v>
      </c>
      <c r="B43" s="14"/>
      <c r="C43" s="14"/>
      <c r="D43" s="14"/>
    </row>
    <row r="44" customFormat="false" ht="15" hidden="false" customHeight="false" outlineLevel="0" collapsed="false">
      <c r="A44" s="11" t="s">
        <v>101</v>
      </c>
      <c r="B44" s="11" t="s">
        <v>102</v>
      </c>
      <c r="C44" s="11" t="s">
        <v>103</v>
      </c>
    </row>
    <row r="45" customFormat="false" ht="15" hidden="false" customHeight="false" outlineLevel="0" collapsed="false">
      <c r="A45" s="0" t="s">
        <v>104</v>
      </c>
      <c r="B45" s="0" t="s">
        <v>105</v>
      </c>
      <c r="C45" s="0" t="s">
        <v>106</v>
      </c>
    </row>
    <row r="46" customFormat="false" ht="15" hidden="false" customHeight="false" outlineLevel="0" collapsed="false">
      <c r="A46" s="0" t="s">
        <v>107</v>
      </c>
      <c r="B46" s="0" t="s">
        <v>108</v>
      </c>
      <c r="C46" s="0" t="s">
        <v>109</v>
      </c>
    </row>
    <row r="47" customFormat="false" ht="15" hidden="false" customHeight="false" outlineLevel="0" collapsed="false">
      <c r="A47" s="0" t="s">
        <v>110</v>
      </c>
      <c r="B47" s="0" t="s">
        <v>111</v>
      </c>
      <c r="C47" s="0" t="s">
        <v>112</v>
      </c>
    </row>
    <row r="48" customFormat="false" ht="15" hidden="false" customHeight="false" outlineLevel="0" collapsed="false">
      <c r="A48" s="0" t="s">
        <v>113</v>
      </c>
      <c r="B48" s="0" t="s">
        <v>114</v>
      </c>
      <c r="C48" s="0" t="s">
        <v>115</v>
      </c>
    </row>
    <row r="49" customFormat="false" ht="15" hidden="false" customHeight="false" outlineLevel="0" collapsed="false">
      <c r="A49" s="0" t="s">
        <v>116</v>
      </c>
      <c r="B49" s="0" t="s">
        <v>117</v>
      </c>
      <c r="C49" s="0" t="s">
        <v>118</v>
      </c>
    </row>
  </sheetData>
  <mergeCells count="5">
    <mergeCell ref="A1:D1"/>
    <mergeCell ref="A3:D3"/>
    <mergeCell ref="A16:D16"/>
    <mergeCell ref="A29:D29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2026-02-08T06:11:23Z</dcterms:created>
  <dc:creator>openpyxl</dc:creator>
  <dc:description/>
  <dc:language>en-US</dc:language>
  <cp:lastModifiedBy/>
  <dcterms:modified xsi:type="dcterms:W3CDTF">2026-02-08T06:11:23Z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