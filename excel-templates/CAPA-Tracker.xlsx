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PA Tracker" sheetId="2" state="visible" r:id="rId4"/>
    <sheet name="Validation List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<sst xmlns="http://schemas.openxmlformats.org/spreadsheetml/2006/main" count="69" uniqueCount="57">
  <si>
    <t xml:space="preserve">CAPA METRICS DASHBOARD</t>
  </si>
  <si>
    <t xml:space="preserve">SUMMARY METRICS</t>
  </si>
  <si>
    <t xml:space="preserve">Total CAPAs</t>
  </si>
  <si>
    <t xml:space="preserve">Open CAPAs</t>
  </si>
  <si>
    <t xml:space="preserve">Closed CAPAs</t>
  </si>
  <si>
    <t xml:space="preserve">Overdue CAPAs</t>
  </si>
  <si>
    <t xml:space="preserve">Avg Days to Close</t>
  </si>
  <si>
    <t xml:space="preserve">% Closed On Time</t>
  </si>
  <si>
    <t xml:space="preserve">BREAKDOWN BY STATUS</t>
  </si>
  <si>
    <t xml:space="preserve">BREAKDOWN BY TYPE</t>
  </si>
  <si>
    <t xml:space="preserve">Open</t>
  </si>
  <si>
    <t xml:space="preserve">Corrective</t>
  </si>
  <si>
    <t xml:space="preserve">In Progress</t>
  </si>
  <si>
    <t xml:space="preserve">Preventive</t>
  </si>
  <si>
    <t xml:space="preserve">Awaiting Verification</t>
  </si>
  <si>
    <t xml:space="preserve">Both</t>
  </si>
  <si>
    <t xml:space="preserve">Closed</t>
  </si>
  <si>
    <t xml:space="preserve">Cancelled</t>
  </si>
  <si>
    <t xml:space="preserve">CORRECTIVE AND PREVENTIVE ACTION (CAPA) TRACKER</t>
  </si>
  <si>
    <t xml:space="preserve">AS9100 / ISO 9001 Compliant - Nonconformance Management System</t>
  </si>
  <si>
    <t xml:space="preserve">Instructions: Blue text = User input required | Black text = Auto-calculated | Status updates trigger workflow</t>
  </si>
  <si>
    <t xml:space="preserve">CAPA ID</t>
  </si>
  <si>
    <t xml:space="preserve">Date Opened</t>
  </si>
  <si>
    <t xml:space="preserve">Source</t>
  </si>
  <si>
    <t xml:space="preserve">Type</t>
  </si>
  <si>
    <t xml:space="preserve">Nonconformance Description</t>
  </si>
  <si>
    <t xml:space="preserve">Root Cause</t>
  </si>
  <si>
    <t xml:space="preserve">Containment Action</t>
  </si>
  <si>
    <t xml:space="preserve">Corrective Action</t>
  </si>
  <si>
    <t xml:space="preserve">Preventive Action</t>
  </si>
  <si>
    <t xml:space="preserve">Responsible Person</t>
  </si>
  <si>
    <t xml:space="preserve">Target Date</t>
  </si>
  <si>
    <t xml:space="preserve">Completion Date</t>
  </si>
  <si>
    <t xml:space="preserve">Status</t>
  </si>
  <si>
    <t xml:space="preserve">Days Open</t>
  </si>
  <si>
    <t xml:space="preserve">Overdue?</t>
  </si>
  <si>
    <t xml:space="preserve">Verification Status</t>
  </si>
  <si>
    <t xml:space="preserve">Internal Audit</t>
  </si>
  <si>
    <t xml:space="preserve">Control plan missing critical characteristic for bearing assembly process</t>
  </si>
  <si>
    <t xml:space="preserve">8D analysis revealed inadequate process FMEA - critical feature severity rating was incorrect</t>
  </si>
  <si>
    <t xml:space="preserve">100% inspection implemented on lot XYZ-789 pending PFMEA revision</t>
  </si>
  <si>
    <t xml:space="preserve">Revise PFMEA for bearing assembly (Doc# PFMEA-BA-001 Rev C). Update control plan per AIAG guidelines.</t>
  </si>
  <si>
    <t xml:space="preserve">Train quality engineers on PFMEA severity rating criteria. Add PFMEA review to new product introduction checklist.</t>
  </si>
  <si>
    <t xml:space="preserve">J. Smith (Quality Mgr)</t>
  </si>
  <si>
    <t xml:space="preserve">Pending</t>
  </si>
  <si>
    <t xml:space="preserve">External Audit</t>
  </si>
  <si>
    <t xml:space="preserve">Verified Effective</t>
  </si>
  <si>
    <t xml:space="preserve">Customer Complaint</t>
  </si>
  <si>
    <t xml:space="preserve">Not Effective - Reopen</t>
  </si>
  <si>
    <t xml:space="preserve">Supplier Issue</t>
  </si>
  <si>
    <t xml:space="preserve">N/A</t>
  </si>
  <si>
    <t xml:space="preserve">Production Nonconformance</t>
  </si>
  <si>
    <t xml:space="preserve">Management Review</t>
  </si>
  <si>
    <t xml:space="preserve">Employee Suggestion</t>
  </si>
  <si>
    <t xml:space="preserve">Regulatory Finding</t>
  </si>
  <si>
    <t xml:space="preserve">Risk Assessment</t>
  </si>
  <si>
    <t xml:space="preserve">Other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</si>
</sst>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%"/>
    <numFmt numFmtId="168" formatCode="mm/dd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0070C0"/>
      <name val="Cambria"/>
      <family val="0"/>
      <charset val="1"/>
    </font>
    <font>
      <sz val="11"/>
      <color rgb="FF0070C0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0"/>
      <color rgb="FF7F7F7F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7E6E6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4" min="4" style="0" width="20"/>
    <col collapsed="false" customWidth="true" hidden="false" outlineLevel="0" max="5" min="5" style="0" width="15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4" t="n">
        <f aca="false">COUNTA('CAPA Tracker'!E6:E20)</f>
        <v>1</v>
      </c>
    </row>
    <row r="5" customFormat="false" ht="15" hidden="false" customHeight="false" outlineLevel="0" collapsed="false">
      <c r="A5" s="3" t="s">
        <v>3</v>
      </c>
      <c r="B5" s="4" t="n">
        <f aca="false">COUNTIFS('CAPA Tracker'!M6:M20,"Open")+COUNTIFS('CAPA Tracker'!M6:M20,"In Progress")</f>
        <v>1</v>
      </c>
    </row>
    <row r="6" customFormat="false" ht="15" hidden="false" customHeight="false" outlineLevel="0" collapsed="false">
      <c r="A6" s="3" t="s">
        <v>4</v>
      </c>
      <c r="B6" s="4" t="n">
        <f aca="false">COUNTIF('CAPA Tracker'!M6:M20,"Closed")</f>
        <v>0</v>
      </c>
    </row>
    <row r="7" customFormat="false" ht="15" hidden="false" customHeight="false" outlineLevel="0" collapsed="false">
      <c r="A7" s="3" t="s">
        <v>5</v>
      </c>
      <c r="B7" s="4" t="n">
        <f aca="false">COUNTIF('CAPA Tracker'!O6:O20,"YES")</f>
        <v>1</v>
      </c>
    </row>
    <row r="8" customFormat="false" ht="15" hidden="false" customHeight="false" outlineLevel="0" collapsed="false">
      <c r="A8" s="3" t="s">
        <v>6</v>
      </c>
      <c r="B8" s="5" t="n">
        <f aca="false">IFERROR(AVERAGEIF('CAPA Tracker'!M6:M20,"Closed",'CAPA Tracker'!N6:N20),0)</f>
        <v>0</v>
      </c>
    </row>
    <row r="9" customFormat="false" ht="15" hidden="false" customHeight="false" outlineLevel="0" collapsed="false">
      <c r="A9" s="3" t="s">
        <v>7</v>
      </c>
      <c r="B9" s="6" t="n">
        <f aca="false">IFERROR((COUNTIF('CAPA Tracker'!M6:M20,"Closed")-COUNTIF('CAPA Tracker'!O6:O20,"WAS LATE"))/COUNTIF('CAPA Tracker'!M6:M20,"Closed"),0)</f>
        <v>0</v>
      </c>
    </row>
    <row r="11" customFormat="false" ht="15" hidden="false" customHeight="false" outlineLevel="0" collapsed="false">
      <c r="A11" s="2" t="s">
        <v>8</v>
      </c>
      <c r="B11" s="2"/>
      <c r="D11" s="2" t="s">
        <v>9</v>
      </c>
      <c r="E11" s="2"/>
    </row>
    <row r="12" customFormat="false" ht="15" hidden="false" customHeight="false" outlineLevel="0" collapsed="false">
      <c r="A12" s="3" t="s">
        <v>10</v>
      </c>
      <c r="B12" s="7" t="n">
        <f aca="false">COUNTIF('CAPA Tracker'!M6:M20,"Open")</f>
        <v>0</v>
      </c>
      <c r="D12" s="3" t="s">
        <v>11</v>
      </c>
      <c r="E12" s="7" t="n">
        <f aca="false">COUNTIF('CAPA Tracker'!D6:D20,"Corrective")</f>
        <v>1</v>
      </c>
    </row>
    <row r="13" customFormat="false" ht="15" hidden="false" customHeight="false" outlineLevel="0" collapsed="false">
      <c r="A13" s="3" t="s">
        <v>12</v>
      </c>
      <c r="B13" s="7" t="n">
        <f aca="false">COUNTIF('CAPA Tracker'!M6:M20,"In Progress")</f>
        <v>1</v>
      </c>
      <c r="D13" s="3" t="s">
        <v>13</v>
      </c>
      <c r="E13" s="7" t="n">
        <f aca="false">COUNTIF('CAPA Tracker'!D6:D20,"Preventive")</f>
        <v>0</v>
      </c>
    </row>
    <row r="14" customFormat="false" ht="15" hidden="false" customHeight="false" outlineLevel="0" collapsed="false">
      <c r="A14" s="3" t="s">
        <v>14</v>
      </c>
      <c r="B14" s="7" t="n">
        <f aca="false">COUNTIF('CAPA Tracker'!M6:M20,"Awaiting Verification")</f>
        <v>0</v>
      </c>
      <c r="D14" s="3" t="s">
        <v>15</v>
      </c>
      <c r="E14" s="7" t="n">
        <f aca="false">COUNTIF('CAPA Tracker'!D6:D20,"Both")</f>
        <v>0</v>
      </c>
    </row>
    <row r="15" customFormat="false" ht="15" hidden="false" customHeight="false" outlineLevel="0" collapsed="false">
      <c r="A15" s="3" t="s">
        <v>16</v>
      </c>
      <c r="B15" s="7" t="n">
        <f aca="false">COUNTIF('CAPA Tracker'!M6:M20,"Closed")</f>
        <v>0</v>
      </c>
    </row>
    <row r="16" customFormat="false" ht="15" hidden="false" customHeight="false" outlineLevel="0" collapsed="false">
      <c r="A16" s="3" t="s">
        <v>17</v>
      </c>
      <c r="B16" s="7" t="n">
        <f aca="false">COUNTIF('CAPA Tracker'!M6:M20,"Cancelled")</f>
        <v>0</v>
      </c>
    </row>
  </sheetData>
  <mergeCells count="4">
    <mergeCell ref="A1:F1"/>
    <mergeCell ref="A3:F3"/>
    <mergeCell ref="A11:B11"/>
    <mergeCell ref="D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9" min="6" style="0" width="25"/>
    <col collapsed="false" customWidth="true" hidden="false" outlineLevel="0" max="10" min="10" style="0" width="18"/>
    <col collapsed="false" customWidth="true" hidden="false" outlineLevel="0" max="13" min="11" style="0" width="12"/>
    <col collapsed="false" customWidth="true" hidden="false" outlineLevel="0" max="15" min="14" style="0" width="10"/>
    <col collapsed="false" customWidth="true" hidden="false" outlineLevel="0" max="16" min="16" style="0" width="15"/>
  </cols>
  <sheetData>
    <row r="1" customFormat="false" ht="17.9" hidden="false" customHeight="true" outlineLevel="0" collapsed="false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true" outlineLevel="0" collapsed="false">
      <c r="A2" s="9" t="s">
        <v>19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customFormat="false" ht="15" hidden="false" customHeight="true" outlineLevel="0" collapsed="false">
      <c r="A3" s="10" t="s">
        <v>20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5" customFormat="false" ht="28.35" hidden="false" customHeight="false" outlineLevel="0" collapsed="false">
      <c r="A5" s="11" t="s">
        <v>21</v>
      </c>
      <c r="B5" s="11" t="s">
        <v>22</v>
      </c>
      <c r="C5" s="11" t="s">
        <v>23</v>
      </c>
      <c r="D5" s="11" t="s">
        <v>24</v>
      </c>
      <c r="E5" s="11" t="s">
        <v>25</v>
      </c>
      <c r="F5" s="11" t="s">
        <v>26</v>
      </c>
      <c r="G5" s="11" t="s">
        <v>27</v>
      </c>
      <c r="H5" s="11" t="s">
        <v>28</v>
      </c>
      <c r="I5" s="11" t="s">
        <v>29</v>
      </c>
      <c r="J5" s="11" t="s">
        <v>30</v>
      </c>
      <c r="K5" s="11" t="s">
        <v>31</v>
      </c>
      <c r="L5" s="11" t="s">
        <v>32</v>
      </c>
      <c r="M5" s="11" t="s">
        <v>33</v>
      </c>
      <c r="N5" s="11" t="s">
        <v>34</v>
      </c>
      <c r="O5" s="11" t="s">
        <v>35</v>
      </c>
      <c r="P5" s="11" t="s">
        <v>36</v>
      </c>
    </row>
    <row r="6" customFormat="false" ht="68.65" hidden="false" customHeight="false" outlineLevel="0" collapsed="false">
      <c r="A6" s="12" t="str">
        <f aca="false">IF(E6&lt;&gt;"","CAPA-"&amp;TEXT(ROW()-5,"0000"),"")</f>
        <v>CAPA-0001</v>
      </c>
      <c r="B6" s="13" t="n">
        <v>46006</v>
      </c>
      <c r="C6" s="14" t="s">
        <v>37</v>
      </c>
      <c r="D6" s="15" t="s">
        <v>11</v>
      </c>
      <c r="E6" s="14" t="s">
        <v>38</v>
      </c>
      <c r="F6" s="14" t="s">
        <v>39</v>
      </c>
      <c r="G6" s="14" t="s">
        <v>40</v>
      </c>
      <c r="H6" s="14" t="s">
        <v>41</v>
      </c>
      <c r="I6" s="14" t="s">
        <v>42</v>
      </c>
      <c r="J6" s="14" t="s">
        <v>43</v>
      </c>
      <c r="K6" s="13" t="n">
        <v>46053</v>
      </c>
      <c r="L6" s="13"/>
      <c r="M6" s="15" t="s">
        <v>12</v>
      </c>
      <c r="N6" s="16" t="n">
        <f aca="true">IF(AND(B6&lt;&gt;"",L6=""),TODAY()-B6,IF(AND(B6&lt;&gt;"",L6&lt;&gt;""),L6-B6,""))</f>
        <v>55</v>
      </c>
      <c r="O6" s="12" t="str">
        <f aca="true">IF(AND(K6&lt;&gt;"",L6="",TODAY()&gt;K6),"YES",IF(AND(K6&lt;&gt;"",L6&lt;&gt;"",L6&gt;K6),"WAS LATE",""))</f>
        <v>YES</v>
      </c>
      <c r="P6" s="15" t="s">
        <v>44</v>
      </c>
    </row>
    <row r="7" customFormat="false" ht="15" hidden="false" customHeight="false" outlineLevel="0" collapsed="false">
      <c r="A7" s="12" t="str">
        <f aca="false">IF(E7&lt;&gt;"","CAPA-"&amp;TEXT(ROW()-5,"0000"),"")</f>
        <v/>
      </c>
      <c r="B7" s="13"/>
      <c r="C7" s="14"/>
      <c r="D7" s="15"/>
      <c r="E7" s="14"/>
      <c r="F7" s="14"/>
      <c r="G7" s="14"/>
      <c r="H7" s="14"/>
      <c r="I7" s="14"/>
      <c r="J7" s="14"/>
      <c r="K7" s="13"/>
      <c r="L7" s="13"/>
      <c r="M7" s="15"/>
      <c r="N7" s="16" t="str">
        <f aca="true">IF(AND(B7&lt;&gt;"",L7=""),TODAY()-B7,IF(AND(B7&lt;&gt;"",L7&lt;&gt;""),L7-B7,""))</f>
        <v/>
      </c>
      <c r="O7" s="12" t="str">
        <f aca="true">IF(AND(K7&lt;&gt;"",L7="",TODAY()&gt;K7),"YES",IF(AND(K7&lt;&gt;"",L7&lt;&gt;"",L7&gt;K7),"WAS LATE",""))</f>
        <v/>
      </c>
      <c r="P7" s="15"/>
    </row>
    <row r="8" customFormat="false" ht="15" hidden="false" customHeight="false" outlineLevel="0" collapsed="false">
      <c r="A8" s="12" t="str">
        <f aca="false">IF(E8&lt;&gt;"","CAPA-"&amp;TEXT(ROW()-5,"0000"),"")</f>
        <v/>
      </c>
      <c r="B8" s="13"/>
      <c r="C8" s="14"/>
      <c r="D8" s="15"/>
      <c r="E8" s="14"/>
      <c r="F8" s="14"/>
      <c r="G8" s="14"/>
      <c r="H8" s="14"/>
      <c r="I8" s="14"/>
      <c r="J8" s="14"/>
      <c r="K8" s="13"/>
      <c r="L8" s="13"/>
      <c r="M8" s="15"/>
      <c r="N8" s="16" t="str">
        <f aca="true">IF(AND(B8&lt;&gt;"",L8=""),TODAY()-B8,IF(AND(B8&lt;&gt;"",L8&lt;&gt;""),L8-B8,""))</f>
        <v/>
      </c>
      <c r="O8" s="12" t="str">
        <f aca="true">IF(AND(K8&lt;&gt;"",L8="",TODAY()&gt;K8),"YES",IF(AND(K8&lt;&gt;"",L8&lt;&gt;"",L8&gt;K8),"WAS LATE",""))</f>
        <v/>
      </c>
      <c r="P8" s="15"/>
    </row>
    <row r="9" customFormat="false" ht="15" hidden="false" customHeight="false" outlineLevel="0" collapsed="false">
      <c r="A9" s="12" t="str">
        <f aca="false">IF(E9&lt;&gt;"","CAPA-"&amp;TEXT(ROW()-5,"0000"),"")</f>
        <v/>
      </c>
      <c r="B9" s="13"/>
      <c r="C9" s="14"/>
      <c r="D9" s="15"/>
      <c r="E9" s="14"/>
      <c r="F9" s="14"/>
      <c r="G9" s="14"/>
      <c r="H9" s="14"/>
      <c r="I9" s="14"/>
      <c r="J9" s="14"/>
      <c r="K9" s="13"/>
      <c r="L9" s="13"/>
      <c r="M9" s="15"/>
      <c r="N9" s="16" t="str">
        <f aca="true">IF(AND(B9&lt;&gt;"",L9=""),TODAY()-B9,IF(AND(B9&lt;&gt;"",L9&lt;&gt;""),L9-B9,""))</f>
        <v/>
      </c>
      <c r="O9" s="12" t="str">
        <f aca="true">IF(AND(K9&lt;&gt;"",L9="",TODAY()&gt;K9),"YES",IF(AND(K9&lt;&gt;"",L9&lt;&gt;"",L9&gt;K9),"WAS LATE",""))</f>
        <v/>
      </c>
      <c r="P9" s="15"/>
    </row>
    <row r="10" customFormat="false" ht="15" hidden="false" customHeight="false" outlineLevel="0" collapsed="false">
      <c r="A10" s="12" t="str">
        <f aca="false">IF(E10&lt;&gt;"","CAPA-"&amp;TEXT(ROW()-5,"0000"),"")</f>
        <v/>
      </c>
      <c r="B10" s="13"/>
      <c r="C10" s="14"/>
      <c r="D10" s="15"/>
      <c r="E10" s="14"/>
      <c r="F10" s="14"/>
      <c r="G10" s="14"/>
      <c r="H10" s="14"/>
      <c r="I10" s="14"/>
      <c r="J10" s="14"/>
      <c r="K10" s="13"/>
      <c r="L10" s="13"/>
      <c r="M10" s="15"/>
      <c r="N10" s="16" t="str">
        <f aca="true">IF(AND(B10&lt;&gt;"",L10=""),TODAY()-B10,IF(AND(B10&lt;&gt;"",L10&lt;&gt;""),L10-B10,""))</f>
        <v/>
      </c>
      <c r="O10" s="12" t="str">
        <f aca="true">IF(AND(K10&lt;&gt;"",L10="",TODAY()&gt;K10),"YES",IF(AND(K10&lt;&gt;"",L10&lt;&gt;"",L10&gt;K10),"WAS LATE",""))</f>
        <v/>
      </c>
      <c r="P10" s="15"/>
    </row>
    <row r="11" customFormat="false" ht="15" hidden="false" customHeight="false" outlineLevel="0" collapsed="false">
      <c r="A11" s="12" t="str">
        <f aca="false">IF(E11&lt;&gt;"","CAPA-"&amp;TEXT(ROW()-5,"0000"),"")</f>
        <v/>
      </c>
      <c r="B11" s="13"/>
      <c r="C11" s="14"/>
      <c r="D11" s="15"/>
      <c r="E11" s="14"/>
      <c r="F11" s="14"/>
      <c r="G11" s="14"/>
      <c r="H11" s="14"/>
      <c r="I11" s="14"/>
      <c r="J11" s="14"/>
      <c r="K11" s="13"/>
      <c r="L11" s="13"/>
      <c r="M11" s="15"/>
      <c r="N11" s="16" t="str">
        <f aca="true">IF(AND(B11&lt;&gt;"",L11=""),TODAY()-B11,IF(AND(B11&lt;&gt;"",L11&lt;&gt;""),L11-B11,""))</f>
        <v/>
      </c>
      <c r="O11" s="12" t="str">
        <f aca="true">IF(AND(K11&lt;&gt;"",L11="",TODAY()&gt;K11),"YES",IF(AND(K11&lt;&gt;"",L11&lt;&gt;"",L11&gt;K11),"WAS LATE",""))</f>
        <v/>
      </c>
      <c r="P11" s="15"/>
    </row>
    <row r="12" customFormat="false" ht="15" hidden="false" customHeight="false" outlineLevel="0" collapsed="false">
      <c r="A12" s="12" t="str">
        <f aca="false">IF(E12&lt;&gt;"","CAPA-"&amp;TEXT(ROW()-5,"0000"),"")</f>
        <v/>
      </c>
      <c r="B12" s="13"/>
      <c r="C12" s="14"/>
      <c r="D12" s="15"/>
      <c r="E12" s="14"/>
      <c r="F12" s="14"/>
      <c r="G12" s="14"/>
      <c r="H12" s="14"/>
      <c r="I12" s="14"/>
      <c r="J12" s="14"/>
      <c r="K12" s="13"/>
      <c r="L12" s="13"/>
      <c r="M12" s="15"/>
      <c r="N12" s="16" t="str">
        <f aca="true">IF(AND(B12&lt;&gt;"",L12=""),TODAY()-B12,IF(AND(B12&lt;&gt;"",L12&lt;&gt;""),L12-B12,""))</f>
        <v/>
      </c>
      <c r="O12" s="12" t="str">
        <f aca="true">IF(AND(K12&lt;&gt;"",L12="",TODAY()&gt;K12),"YES",IF(AND(K12&lt;&gt;"",L12&lt;&gt;"",L12&gt;K12),"WAS LATE",""))</f>
        <v/>
      </c>
      <c r="P12" s="15"/>
    </row>
    <row r="13" customFormat="false" ht="15" hidden="false" customHeight="false" outlineLevel="0" collapsed="false">
      <c r="A13" s="12" t="str">
        <f aca="false">IF(E13&lt;&gt;"","CAPA-"&amp;TEXT(ROW()-5,"0000"),"")</f>
        <v/>
      </c>
      <c r="B13" s="13"/>
      <c r="C13" s="14"/>
      <c r="D13" s="15"/>
      <c r="E13" s="14"/>
      <c r="F13" s="14"/>
      <c r="G13" s="14"/>
      <c r="H13" s="14"/>
      <c r="I13" s="14"/>
      <c r="J13" s="14"/>
      <c r="K13" s="13"/>
      <c r="L13" s="13"/>
      <c r="M13" s="15"/>
      <c r="N13" s="16" t="str">
        <f aca="true">IF(AND(B13&lt;&gt;"",L13=""),TODAY()-B13,IF(AND(B13&lt;&gt;"",L13&lt;&gt;""),L13-B13,""))</f>
        <v/>
      </c>
      <c r="O13" s="12" t="str">
        <f aca="true">IF(AND(K13&lt;&gt;"",L13="",TODAY()&gt;K13),"YES",IF(AND(K13&lt;&gt;"",L13&lt;&gt;"",L13&gt;K13),"WAS LATE",""))</f>
        <v/>
      </c>
      <c r="P13" s="15"/>
    </row>
    <row r="14" customFormat="false" ht="15" hidden="false" customHeight="false" outlineLevel="0" collapsed="false">
      <c r="A14" s="12" t="str">
        <f aca="false">IF(E14&lt;&gt;"","CAPA-"&amp;TEXT(ROW()-5,"0000"),"")</f>
        <v/>
      </c>
      <c r="B14" s="13"/>
      <c r="C14" s="14"/>
      <c r="D14" s="15"/>
      <c r="E14" s="14"/>
      <c r="F14" s="14"/>
      <c r="G14" s="14"/>
      <c r="H14" s="14"/>
      <c r="I14" s="14"/>
      <c r="J14" s="14"/>
      <c r="K14" s="13"/>
      <c r="L14" s="13"/>
      <c r="M14" s="15"/>
      <c r="N14" s="16" t="str">
        <f aca="true">IF(AND(B14&lt;&gt;"",L14=""),TODAY()-B14,IF(AND(B14&lt;&gt;"",L14&lt;&gt;""),L14-B14,""))</f>
        <v/>
      </c>
      <c r="O14" s="12" t="str">
        <f aca="true">IF(AND(K14&lt;&gt;"",L14="",TODAY()&gt;K14),"YES",IF(AND(K14&lt;&gt;"",L14&lt;&gt;"",L14&gt;K14),"WAS LATE",""))</f>
        <v/>
      </c>
      <c r="P14" s="15"/>
    </row>
    <row r="15" customFormat="false" ht="15" hidden="false" customHeight="false" outlineLevel="0" collapsed="false">
      <c r="A15" s="12" t="str">
        <f aca="false">IF(E15&lt;&gt;"","CAPA-"&amp;TEXT(ROW()-5,"0000"),"")</f>
        <v/>
      </c>
      <c r="B15" s="13"/>
      <c r="C15" s="14"/>
      <c r="D15" s="15"/>
      <c r="E15" s="14"/>
      <c r="F15" s="14"/>
      <c r="G15" s="14"/>
      <c r="H15" s="14"/>
      <c r="I15" s="14"/>
      <c r="J15" s="14"/>
      <c r="K15" s="13"/>
      <c r="L15" s="13"/>
      <c r="M15" s="15"/>
      <c r="N15" s="16" t="str">
        <f aca="true">IF(AND(B15&lt;&gt;"",L15=""),TODAY()-B15,IF(AND(B15&lt;&gt;"",L15&lt;&gt;""),L15-B15,""))</f>
        <v/>
      </c>
      <c r="O15" s="12" t="str">
        <f aca="true">IF(AND(K15&lt;&gt;"",L15="",TODAY()&gt;K15),"YES",IF(AND(K15&lt;&gt;"",L15&lt;&gt;"",L15&gt;K15),"WAS LATE",""))</f>
        <v/>
      </c>
      <c r="P15" s="15"/>
    </row>
    <row r="16" customFormat="false" ht="15" hidden="false" customHeight="false" outlineLevel="0" collapsed="false">
      <c r="A16" s="12" t="str">
        <f aca="false">IF(E16&lt;&gt;"","CAPA-"&amp;TEXT(ROW()-5,"0000"),"")</f>
        <v/>
      </c>
      <c r="B16" s="13"/>
      <c r="C16" s="14"/>
      <c r="D16" s="15"/>
      <c r="E16" s="14"/>
      <c r="F16" s="14"/>
      <c r="G16" s="14"/>
      <c r="H16" s="14"/>
      <c r="I16" s="14"/>
      <c r="J16" s="14"/>
      <c r="K16" s="13"/>
      <c r="L16" s="13"/>
      <c r="M16" s="15"/>
      <c r="N16" s="16" t="str">
        <f aca="true">IF(AND(B16&lt;&gt;"",L16=""),TODAY()-B16,IF(AND(B16&lt;&gt;"",L16&lt;&gt;""),L16-B16,""))</f>
        <v/>
      </c>
      <c r="O16" s="12" t="str">
        <f aca="true">IF(AND(K16&lt;&gt;"",L16="",TODAY()&gt;K16),"YES",IF(AND(K16&lt;&gt;"",L16&lt;&gt;"",L16&gt;K16),"WAS LATE",""))</f>
        <v/>
      </c>
      <c r="P16" s="15"/>
    </row>
    <row r="17" customFormat="false" ht="15" hidden="false" customHeight="false" outlineLevel="0" collapsed="false">
      <c r="A17" s="12" t="str">
        <f aca="false">IF(E17&lt;&gt;"","CAPA-"&amp;TEXT(ROW()-5,"0000"),"")</f>
        <v/>
      </c>
      <c r="B17" s="13"/>
      <c r="C17" s="14"/>
      <c r="D17" s="15"/>
      <c r="E17" s="14"/>
      <c r="F17" s="14"/>
      <c r="G17" s="14"/>
      <c r="H17" s="14"/>
      <c r="I17" s="14"/>
      <c r="J17" s="14"/>
      <c r="K17" s="13"/>
      <c r="L17" s="13"/>
      <c r="M17" s="15"/>
      <c r="N17" s="16" t="str">
        <f aca="true">IF(AND(B17&lt;&gt;"",L17=""),TODAY()-B17,IF(AND(B17&lt;&gt;"",L17&lt;&gt;""),L17-B17,""))</f>
        <v/>
      </c>
      <c r="O17" s="12" t="str">
        <f aca="true">IF(AND(K17&lt;&gt;"",L17="",TODAY()&gt;K17),"YES",IF(AND(K17&lt;&gt;"",L17&lt;&gt;"",L17&gt;K17),"WAS LATE",""))</f>
        <v/>
      </c>
      <c r="P17" s="15"/>
    </row>
    <row r="18" customFormat="false" ht="15" hidden="false" customHeight="false" outlineLevel="0" collapsed="false">
      <c r="A18" s="12" t="str">
        <f aca="false">IF(E18&lt;&gt;"","CAPA-"&amp;TEXT(ROW()-5,"0000"),"")</f>
        <v/>
      </c>
      <c r="B18" s="13"/>
      <c r="C18" s="14"/>
      <c r="D18" s="15"/>
      <c r="E18" s="14"/>
      <c r="F18" s="14"/>
      <c r="G18" s="14"/>
      <c r="H18" s="14"/>
      <c r="I18" s="14"/>
      <c r="J18" s="14"/>
      <c r="K18" s="13"/>
      <c r="L18" s="13"/>
      <c r="M18" s="15"/>
      <c r="N18" s="16" t="str">
        <f aca="true">IF(AND(B18&lt;&gt;"",L18=""),TODAY()-B18,IF(AND(B18&lt;&gt;"",L18&lt;&gt;""),L18-B18,""))</f>
        <v/>
      </c>
      <c r="O18" s="12" t="str">
        <f aca="true">IF(AND(K18&lt;&gt;"",L18="",TODAY()&gt;K18),"YES",IF(AND(K18&lt;&gt;"",L18&lt;&gt;"",L18&gt;K18),"WAS LATE",""))</f>
        <v/>
      </c>
      <c r="P18" s="15"/>
    </row>
    <row r="19" customFormat="false" ht="15" hidden="false" customHeight="false" outlineLevel="0" collapsed="false">
      <c r="A19" s="12" t="str">
        <f aca="false">IF(E19&lt;&gt;"","CAPA-"&amp;TEXT(ROW()-5,"0000"),"")</f>
        <v/>
      </c>
      <c r="B19" s="13"/>
      <c r="C19" s="14"/>
      <c r="D19" s="15"/>
      <c r="E19" s="14"/>
      <c r="F19" s="14"/>
      <c r="G19" s="14"/>
      <c r="H19" s="14"/>
      <c r="I19" s="14"/>
      <c r="J19" s="14"/>
      <c r="K19" s="13"/>
      <c r="L19" s="13"/>
      <c r="M19" s="15"/>
      <c r="N19" s="16" t="str">
        <f aca="true">IF(AND(B19&lt;&gt;"",L19=""),TODAY()-B19,IF(AND(B19&lt;&gt;"",L19&lt;&gt;""),L19-B19,""))</f>
        <v/>
      </c>
      <c r="O19" s="12" t="str">
        <f aca="true">IF(AND(K19&lt;&gt;"",L19="",TODAY()&gt;K19),"YES",IF(AND(K19&lt;&gt;"",L19&lt;&gt;"",L19&gt;K19),"WAS LATE",""))</f>
        <v/>
      </c>
      <c r="P19" s="15"/>
    </row>
    <row r="20" customFormat="false" ht="15" hidden="false" customHeight="false" outlineLevel="0" collapsed="false">
      <c r="A20" s="12" t="str">
        <f aca="false">IF(E20&lt;&gt;"","CAPA-"&amp;TEXT(ROW()-5,"0000"),"")</f>
        <v/>
      </c>
      <c r="B20" s="13"/>
      <c r="C20" s="14"/>
      <c r="D20" s="15"/>
      <c r="E20" s="14"/>
      <c r="F20" s="14"/>
      <c r="G20" s="14"/>
      <c r="H20" s="14"/>
      <c r="I20" s="14"/>
      <c r="J20" s="14"/>
      <c r="K20" s="13"/>
      <c r="L20" s="13"/>
      <c r="M20" s="15"/>
      <c r="N20" s="16" t="str">
        <f aca="true">IF(AND(B20&lt;&gt;"",L20=""),TODAY()-B20,IF(AND(B20&lt;&gt;"",L20&lt;&gt;""),L20-B20,""))</f>
        <v/>
      </c>
      <c r="O20" s="12" t="str">
        <f aca="true">IF(AND(K20&lt;&gt;"",L20="",TODAY()&gt;K20),"YES",IF(AND(K20&lt;&gt;"",L20&lt;&gt;"",L20&gt;K20),"WAS LATE",""))</f>
        <v/>
      </c>
      <c r="P20" s="15"/>
    </row>
  </sheetData>
  <mergeCells count="3">
    <mergeCell ref="A1:P1"/>
    <mergeCell ref="A2:P2"/>
    <mergeCell ref="A3:P3"/>
  </mergeCells>
  <dataValidations count="4">
    <dataValidation allowBlank="true" errorStyle="stop" operator="between" showDropDown="false" showErrorMessage="false" showInputMessage="false" sqref="C6:C20" type="list">
      <formula1>'Validation Lists'!$A$1:$A$10</formula1>
      <formula2>0</formula2>
    </dataValidation>
    <dataValidation allowBlank="true" errorStyle="stop" operator="between" showDropDown="false" showErrorMessage="false" showInputMessage="false" sqref="D6:D20" type="list">
      <formula1>'Validation Lists'!$B$1:$B$3</formula1>
      <formula2>0</formula2>
    </dataValidation>
    <dataValidation allowBlank="true" errorStyle="stop" operator="between" showDropDown="false" showErrorMessage="false" showInputMessage="false" sqref="M6:M20" type="list">
      <formula1>'Validation Lists'!$C$1:$C$5</formula1>
      <formula2>0</formula2>
    </dataValidation>
    <dataValidation allowBlank="true" errorStyle="stop" operator="between" showDropDown="false" showErrorMessage="false" showInputMessage="false" sqref="P6:P20" type="list">
      <formula1>'Validation Lists'!$D$1:$D$4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37</v>
      </c>
      <c r="B1" s="0" t="s">
        <v>11</v>
      </c>
      <c r="C1" s="0" t="s">
        <v>10</v>
      </c>
      <c r="D1" s="0" t="s">
        <v>44</v>
      </c>
    </row>
    <row r="2" customFormat="false" ht="15" hidden="false" customHeight="false" outlineLevel="0" collapsed="false">
      <c r="A2" s="0" t="s">
        <v>45</v>
      </c>
      <c r="B2" s="0" t="s">
        <v>13</v>
      </c>
      <c r="C2" s="0" t="s">
        <v>12</v>
      </c>
      <c r="D2" s="0" t="s">
        <v>46</v>
      </c>
    </row>
    <row r="3" customFormat="false" ht="15" hidden="false" customHeight="false" outlineLevel="0" collapsed="false">
      <c r="A3" s="0" t="s">
        <v>47</v>
      </c>
      <c r="B3" s="0" t="s">
        <v>15</v>
      </c>
      <c r="C3" s="0" t="s">
        <v>14</v>
      </c>
      <c r="D3" s="0" t="s">
        <v>48</v>
      </c>
    </row>
    <row r="4" customFormat="false" ht="15" hidden="false" customHeight="false" outlineLevel="0" collapsed="false">
      <c r="A4" s="0" t="s">
        <v>49</v>
      </c>
      <c r="C4" s="0" t="s">
        <v>16</v>
      </c>
      <c r="D4" s="0" t="s">
        <v>50</v>
      </c>
    </row>
    <row r="5" customFormat="false" ht="15" hidden="false" customHeight="false" outlineLevel="0" collapsed="false">
      <c r="A5" s="0" t="s">
        <v>51</v>
      </c>
      <c r="C5" s="0" t="s">
        <v>17</v>
      </c>
    </row>
    <row r="6" customFormat="false" ht="15" hidden="false" customHeight="false" outlineLevel="0" collapsed="false">
      <c r="A6" s="0" t="s">
        <v>52</v>
      </c>
    </row>
    <row r="7" customFormat="false" ht="15" hidden="false" customHeight="false" outlineLevel="0" collapsed="false">
      <c r="A7" s="0" t="s">
        <v>53</v>
      </c>
    </row>
    <row r="8" customFormat="false" ht="15" hidden="false" customHeight="false" outlineLevel="0" collapsed="false">
      <c r="A8" s="0" t="s">
        <v>54</v>
      </c>
    </row>
    <row r="9" customFormat="false" ht="15" hidden="false" customHeight="false" outlineLevel="0" collapsed="false">
      <c r="A9" s="0" t="s">
        <v>55</v>
      </c>
    </row>
    <row r="10" customFormat="false" ht="15" hidden="false" customHeight="false" outlineLevel="0" collapsed="false">
      <c r="A10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2026-02-08T05:55:17Z</dcterms:created>
  <dc:creator>openpyxl</dc:creator>
  <dc:description/>
  <dc:language>en-US</dc:language>
  <cp:lastModifiedBy/>
  <dcterms:modified xsi:type="dcterms:W3CDTF">2026-02-08T05:55:17Z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